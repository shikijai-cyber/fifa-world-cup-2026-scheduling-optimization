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+ Ranking" sheetId="1" r:id="rId5"/>
    <sheet state="visible" name="2022 world cup data" sheetId="2" r:id="rId6"/>
    <sheet state="visible" name="6 remaining slots" sheetId="3" r:id="rId7"/>
    <sheet state="visible" name="Stadiums" sheetId="4" r:id="rId8"/>
    <sheet state="visible" name="GroupSeats" sheetId="5" r:id="rId9"/>
    <sheet state="visible" name="Actual Draw" sheetId="6" r:id="rId10"/>
    <sheet state="visible" name="Official Allocation" sheetId="7" r:id="rId11"/>
  </sheets>
  <definedNames/>
  <calcPr/>
</workbook>
</file>

<file path=xl/sharedStrings.xml><?xml version="1.0" encoding="utf-8"?>
<sst xmlns="http://schemas.openxmlformats.org/spreadsheetml/2006/main" count="869" uniqueCount="297">
  <si>
    <t>Code</t>
  </si>
  <si>
    <t>Continent</t>
  </si>
  <si>
    <t>Confederation</t>
  </si>
  <si>
    <t xml:space="preserve">Ranking </t>
  </si>
  <si>
    <t>Points</t>
  </si>
  <si>
    <t>Pot</t>
  </si>
  <si>
    <t>GDP (USD)</t>
  </si>
  <si>
    <t>GDP per capita (USD)</t>
  </si>
  <si>
    <t>False spectator index</t>
  </si>
  <si>
    <t>Spectator Index</t>
  </si>
  <si>
    <t>Distance adjusted spectator index</t>
  </si>
  <si>
    <t>Qatar 2022 fan attendance</t>
  </si>
  <si>
    <t>Adjusted fan attendance</t>
  </si>
  <si>
    <t xml:space="preserve">Population size </t>
  </si>
  <si>
    <t xml:space="preserve">        Geographic distance to Host :        </t>
  </si>
  <si>
    <t>Distance to USA (km)</t>
  </si>
  <si>
    <t>Distance to Canada (km)</t>
  </si>
  <si>
    <t>Distance to Mexico (km)</t>
  </si>
  <si>
    <t>Nearest host distance</t>
  </si>
  <si>
    <t>Distance weights</t>
  </si>
  <si>
    <t>Average attendance</t>
  </si>
  <si>
    <t>Median attendance</t>
  </si>
  <si>
    <t>Austria</t>
  </si>
  <si>
    <t>AUT</t>
  </si>
  <si>
    <t>Europe</t>
  </si>
  <si>
    <t>UEFA</t>
  </si>
  <si>
    <t>Pot 2</t>
  </si>
  <si>
    <t xml:space="preserve">9.19,107,266	</t>
  </si>
  <si>
    <t>Belgium</t>
  </si>
  <si>
    <t>BEL</t>
  </si>
  <si>
    <t>Pot 1</t>
  </si>
  <si>
    <t>AFC</t>
  </si>
  <si>
    <t>Croatia</t>
  </si>
  <si>
    <t>HRV</t>
  </si>
  <si>
    <t>CAF</t>
  </si>
  <si>
    <t>England</t>
  </si>
  <si>
    <t>ENG</t>
  </si>
  <si>
    <t>CONMEBOL</t>
  </si>
  <si>
    <t>France</t>
  </si>
  <si>
    <t>FRA</t>
  </si>
  <si>
    <t>CONCACAF</t>
  </si>
  <si>
    <t>Germany</t>
  </si>
  <si>
    <t>GER</t>
  </si>
  <si>
    <t>OFC</t>
  </si>
  <si>
    <t>Netherlands</t>
  </si>
  <si>
    <t>NED</t>
  </si>
  <si>
    <t>Norway</t>
  </si>
  <si>
    <t>NOR</t>
  </si>
  <si>
    <t>Pot 3</t>
  </si>
  <si>
    <t>Portugal</t>
  </si>
  <si>
    <t>POR</t>
  </si>
  <si>
    <t>Scotland</t>
  </si>
  <si>
    <t>SCO</t>
  </si>
  <si>
    <t>Spain</t>
  </si>
  <si>
    <t>ESP</t>
  </si>
  <si>
    <t>Switzerland</t>
  </si>
  <si>
    <t>SUI</t>
  </si>
  <si>
    <t>UEFA Playoff A Winner</t>
  </si>
  <si>
    <t>Pot 4</t>
  </si>
  <si>
    <t>—</t>
  </si>
  <si>
    <t>UEFA Playoff B Winner</t>
  </si>
  <si>
    <t>UEFA Playoff C Winner</t>
  </si>
  <si>
    <t>UEFA Playoff D Winner</t>
  </si>
  <si>
    <t>Australia</t>
  </si>
  <si>
    <t>Oceania</t>
  </si>
  <si>
    <t>Iran</t>
  </si>
  <si>
    <t>IRN</t>
  </si>
  <si>
    <t>Asia</t>
  </si>
  <si>
    <t>Japan</t>
  </si>
  <si>
    <t>JPN</t>
  </si>
  <si>
    <t>Jordan</t>
  </si>
  <si>
    <t>JOR</t>
  </si>
  <si>
    <t>Korea Republic</t>
  </si>
  <si>
    <t>KOR</t>
  </si>
  <si>
    <t>Qatar</t>
  </si>
  <si>
    <t>QAT</t>
  </si>
  <si>
    <t>Saudi Arabia</t>
  </si>
  <si>
    <t>KSA</t>
  </si>
  <si>
    <t>Uzbekistan</t>
  </si>
  <si>
    <t>UZB</t>
  </si>
  <si>
    <t>Algeria</t>
  </si>
  <si>
    <t>ALG</t>
  </si>
  <si>
    <t>Africa</t>
  </si>
  <si>
    <t>Cape Verde</t>
  </si>
  <si>
    <t>CPV</t>
  </si>
  <si>
    <t>Ivory Coast</t>
  </si>
  <si>
    <t>CIV</t>
  </si>
  <si>
    <t>Egypt</t>
  </si>
  <si>
    <t>EGY</t>
  </si>
  <si>
    <t>Ghana</t>
  </si>
  <si>
    <t>GHA</t>
  </si>
  <si>
    <t>Morocco</t>
  </si>
  <si>
    <t>MAR</t>
  </si>
  <si>
    <t>Senegal</t>
  </si>
  <si>
    <t>SEN</t>
  </si>
  <si>
    <t>South Africa</t>
  </si>
  <si>
    <t>RSA</t>
  </si>
  <si>
    <t>Tunisia</t>
  </si>
  <si>
    <t>TUN</t>
  </si>
  <si>
    <t>Argentina</t>
  </si>
  <si>
    <t>ARG</t>
  </si>
  <si>
    <t>South America</t>
  </si>
  <si>
    <t>Brazil</t>
  </si>
  <si>
    <t>BRA</t>
  </si>
  <si>
    <t>Colombia</t>
  </si>
  <si>
    <t>COL</t>
  </si>
  <si>
    <t>Ecuador</t>
  </si>
  <si>
    <t>ECU</t>
  </si>
  <si>
    <t>Paraguay</t>
  </si>
  <si>
    <t>PRY</t>
  </si>
  <si>
    <t>Uruguay</t>
  </si>
  <si>
    <t>URY</t>
  </si>
  <si>
    <t>Canada</t>
  </si>
  <si>
    <t>CAN</t>
  </si>
  <si>
    <t>North, Central America &amp; Caribbean</t>
  </si>
  <si>
    <t>Curaçao</t>
  </si>
  <si>
    <t>CUW</t>
  </si>
  <si>
    <t>Haiti</t>
  </si>
  <si>
    <t>HAI</t>
  </si>
  <si>
    <t>Mexico</t>
  </si>
  <si>
    <t>MEX</t>
  </si>
  <si>
    <t>Panama</t>
  </si>
  <si>
    <t>PAN</t>
  </si>
  <si>
    <t>United States</t>
  </si>
  <si>
    <t>USA</t>
  </si>
  <si>
    <t>New Zealand</t>
  </si>
  <si>
    <t>NZL</t>
  </si>
  <si>
    <t>Inter-Continental Playoff 1 Winner</t>
  </si>
  <si>
    <t>Various</t>
  </si>
  <si>
    <t>Inter-Continental</t>
  </si>
  <si>
    <t>Inter-Continental Playoff 2 Winner</t>
  </si>
  <si>
    <t>S_bar</t>
  </si>
  <si>
    <t>The average number of seats available to one nation per match, across all 2026 stadiums.</t>
  </si>
  <si>
    <t>D</t>
  </si>
  <si>
    <t>Date</t>
  </si>
  <si>
    <t>Home</t>
  </si>
  <si>
    <t>Away</t>
  </si>
  <si>
    <t>Attendance</t>
  </si>
  <si>
    <t>Stadium</t>
  </si>
  <si>
    <t>Teams</t>
  </si>
  <si>
    <t xml:space="preserve">Summation of for the home side </t>
  </si>
  <si>
    <t>Average attendance  fo the home side</t>
  </si>
  <si>
    <t>g= average attendance across 3 matches (0.12 data assumption)</t>
  </si>
  <si>
    <t>Al Bayt Stadium</t>
  </si>
  <si>
    <t>Khalifa International Stadium</t>
  </si>
  <si>
    <t>Al Thumama Stadium</t>
  </si>
  <si>
    <t>Wales</t>
  </si>
  <si>
    <t>Ahmed bin Ali Stadium</t>
  </si>
  <si>
    <t>Lusail Iconic Stadium</t>
  </si>
  <si>
    <t>Denmark</t>
  </si>
  <si>
    <t>Education City Stadium</t>
  </si>
  <si>
    <t>Poland</t>
  </si>
  <si>
    <t>Stadium 974</t>
  </si>
  <si>
    <t>Al Janoub Stadium</t>
  </si>
  <si>
    <t>Costa Rica</t>
  </si>
  <si>
    <t>Cameroon</t>
  </si>
  <si>
    <t>Serbia</t>
  </si>
  <si>
    <t>Total number of teams that participated in Qatar 2022:</t>
  </si>
  <si>
    <t>https://www.kaggle.com/datasets/parasharmanas/qatar-2022-fifa-world-cup-attendance</t>
  </si>
  <si>
    <t>Path A (Europe)</t>
  </si>
  <si>
    <t>Italy</t>
  </si>
  <si>
    <t>Northern Ireland</t>
  </si>
  <si>
    <t>Bosnia &amp; Herzegovina</t>
  </si>
  <si>
    <t>Path B (Europe)</t>
  </si>
  <si>
    <t>Ukraine</t>
  </si>
  <si>
    <t>Sweden</t>
  </si>
  <si>
    <t>Albania</t>
  </si>
  <si>
    <t>Path C (Europe)</t>
  </si>
  <si>
    <t>Türkiye</t>
  </si>
  <si>
    <t>Romania</t>
  </si>
  <si>
    <t>Slovakia</t>
  </si>
  <si>
    <t>Kosovo</t>
  </si>
  <si>
    <t>Path D (Europe)</t>
  </si>
  <si>
    <t>North Macedonia</t>
  </si>
  <si>
    <t>Czechia</t>
  </si>
  <si>
    <t>Republic of Ireland</t>
  </si>
  <si>
    <t>Path E (Inter)</t>
  </si>
  <si>
    <t>DR Congo (Seeded)</t>
  </si>
  <si>
    <t>New Caledonia</t>
  </si>
  <si>
    <t>Jamaica</t>
  </si>
  <si>
    <t>Path F (Inter)</t>
  </si>
  <si>
    <t>Iraq (Seeded)</t>
  </si>
  <si>
    <t>Bolivia</t>
  </si>
  <si>
    <t>Suriname</t>
  </si>
  <si>
    <t>Stadium (FIFA)</t>
  </si>
  <si>
    <t>Real name</t>
  </si>
  <si>
    <t>State</t>
  </si>
  <si>
    <t>Country (Host)</t>
  </si>
  <si>
    <t xml:space="preserve">Capacity </t>
  </si>
  <si>
    <t>Matches Hosted</t>
  </si>
  <si>
    <t>Group-stage matches</t>
  </si>
  <si>
    <t>Row-set</t>
  </si>
  <si>
    <t>Assigned Group(s)</t>
  </si>
  <si>
    <t>Final/KO</t>
  </si>
  <si>
    <t>Offered Seats</t>
  </si>
  <si>
    <t>New York New Jersey Stadium</t>
  </si>
  <si>
    <t>MetLife Stadium</t>
  </si>
  <si>
    <t>New Jersey</t>
  </si>
  <si>
    <t>TBD</t>
  </si>
  <si>
    <t>C,I,L</t>
  </si>
  <si>
    <t>Final + R16 + QF</t>
  </si>
  <si>
    <t>Los Angeles Stadium</t>
  </si>
  <si>
    <t>SoFi Stadium</t>
  </si>
  <si>
    <t>California</t>
  </si>
  <si>
    <t>D,G,B</t>
  </si>
  <si>
    <t>A/B R32 + QF</t>
  </si>
  <si>
    <t>Dallas Stadium</t>
  </si>
  <si>
    <t>AT&amp;T Stadium</t>
  </si>
  <si>
    <t>Texas</t>
  </si>
  <si>
    <t>F,L,J</t>
  </si>
  <si>
    <t>KO + Semi-final</t>
  </si>
  <si>
    <t>Houston Stadium</t>
  </si>
  <si>
    <t>NRG Stadium</t>
  </si>
  <si>
    <t>E,F,K,H</t>
  </si>
  <si>
    <t>R32 + R16</t>
  </si>
  <si>
    <t>Atlanta Stadium</t>
  </si>
  <si>
    <t>Mercedes-Benz Stadium</t>
  </si>
  <si>
    <t>Georgia</t>
  </si>
  <si>
    <t>H,A,K</t>
  </si>
  <si>
    <t>Semi-final + R32</t>
  </si>
  <si>
    <t>Miami Stadium</t>
  </si>
  <si>
    <t>Hard Rock Stadium</t>
  </si>
  <si>
    <t>Florida</t>
  </si>
  <si>
    <t>H,C,K</t>
  </si>
  <si>
    <t>3rd Place + QF</t>
  </si>
  <si>
    <t>Philadelphia Stadium</t>
  </si>
  <si>
    <t>Lincoln Financial Field</t>
  </si>
  <si>
    <t>Pennsylvania</t>
  </si>
  <si>
    <t>E,C,L</t>
  </si>
  <si>
    <t>R16</t>
  </si>
  <si>
    <t>Seattle Stadium</t>
  </si>
  <si>
    <t>Lumen Field</t>
  </si>
  <si>
    <t>Washington</t>
  </si>
  <si>
    <t>G,D,B</t>
  </si>
  <si>
    <t>San Francisco Bay Area Stadium</t>
  </si>
  <si>
    <t>Levi’s Stadium</t>
  </si>
  <si>
    <t>B,D,J</t>
  </si>
  <si>
    <t>R32</t>
  </si>
  <si>
    <t>Boston Stadium</t>
  </si>
  <si>
    <t>Gillette Stadium</t>
  </si>
  <si>
    <t>Massachusetts</t>
  </si>
  <si>
    <t>R32 + QF</t>
  </si>
  <si>
    <t>Kansas City Stadium</t>
  </si>
  <si>
    <t>Arrowhead Stadium</t>
  </si>
  <si>
    <t>Missouri</t>
  </si>
  <si>
    <t>J,E,F</t>
  </si>
  <si>
    <t>KO + QF</t>
  </si>
  <si>
    <t>Guadalajara Stadium</t>
  </si>
  <si>
    <t>Estadio Akron</t>
  </si>
  <si>
    <t>Jalisco</t>
  </si>
  <si>
    <t>A,K,H</t>
  </si>
  <si>
    <t>Group Stage</t>
  </si>
  <si>
    <t>Mexico City Stadium</t>
  </si>
  <si>
    <t>Estadio Azteca</t>
  </si>
  <si>
    <t>Mexico City</t>
  </si>
  <si>
    <t>A,K</t>
  </si>
  <si>
    <t>Opening + R32 + R16</t>
  </si>
  <si>
    <t>Monterrey Stadium</t>
  </si>
  <si>
    <t>Estadio BBVA</t>
  </si>
  <si>
    <t>Nuevo León</t>
  </si>
  <si>
    <t>F,A</t>
  </si>
  <si>
    <t>Toronto Stadium</t>
  </si>
  <si>
    <t>BMO Field</t>
  </si>
  <si>
    <t>Ontario</t>
  </si>
  <si>
    <t>B,L,E</t>
  </si>
  <si>
    <t>Vancouver Stadium</t>
  </si>
  <si>
    <t>BC Place</t>
  </si>
  <si>
    <t>British Columbia</t>
  </si>
  <si>
    <t>D,B,G</t>
  </si>
  <si>
    <t>https://www.fifa.com/en/tournaments/mens/worldcup/canadamexicousa2026/articles/match-schedule-fixtures-results-teams-stadiums</t>
  </si>
  <si>
    <t>https://www.fifa.com/en/tournaments/mens/worldcup/canadamexicousa2026/articles/stadium-information-details?utm_source</t>
  </si>
  <si>
    <t>Group</t>
  </si>
  <si>
    <t>Avg Offered Seats</t>
  </si>
  <si>
    <t>A</t>
  </si>
  <si>
    <t>B</t>
  </si>
  <si>
    <t>C</t>
  </si>
  <si>
    <t>E</t>
  </si>
  <si>
    <t>F</t>
  </si>
  <si>
    <t>G</t>
  </si>
  <si>
    <t>H</t>
  </si>
  <si>
    <t>I</t>
  </si>
  <si>
    <t>J</t>
  </si>
  <si>
    <t>K</t>
  </si>
  <si>
    <t>L</t>
  </si>
  <si>
    <t>Groups</t>
  </si>
  <si>
    <t>UEFA PO D Winner</t>
  </si>
  <si>
    <t>UEFA PO A Winner</t>
  </si>
  <si>
    <t>UEFA PO C Winner</t>
  </si>
  <si>
    <t>UEFA PO B Winner</t>
  </si>
  <si>
    <t xml:space="preserve">I </t>
  </si>
  <si>
    <t>IC PO 2 Winner</t>
  </si>
  <si>
    <t xml:space="preserve">J </t>
  </si>
  <si>
    <t xml:space="preserve">K </t>
  </si>
  <si>
    <t>IC PO 1 Winner</t>
  </si>
  <si>
    <t>Row-Set</t>
  </si>
  <si>
    <t>Match in Row-Set</t>
  </si>
  <si>
    <t>Capacity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</si>
</sst>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 mmm yyyy"/>
    <numFmt numFmtId="165" formatCode="dd mmm yyyy"/>
  </numFmts>
  <fonts count="17">
    <font>
      <sz val="10.0"/>
      <color rgb="FF000000"/>
      <name val="Arial"/>
      <scheme val="minor"/>
    </font>
    <font>
      <b/>
      <sz val="10.0"/>
      <color rgb="FF000000"/>
      <name val="Arial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sz val="10.0"/>
      <color rgb="FF000000"/>
      <name val="Arial"/>
    </font>
    <font>
      <u/>
      <sz val="10.0"/>
      <color rgb="FF000000"/>
      <name val="Arial"/>
    </font>
    <font>
      <u/>
      <color rgb="FF0000FF"/>
    </font>
    <font>
      <color rgb="FF000000"/>
      <name val="Arial"/>
      <scheme val="minor"/>
    </font>
    <font>
      <sz val="10.0"/>
      <color rgb="FF000000"/>
      <name val="&quot;Open Sans&quot;"/>
    </font>
    <font>
      <sz val="11.0"/>
      <color rgb="FF000000"/>
      <name val="&quot;Open Sans&quot;"/>
    </font>
    <font>
      <b/>
      <color rgb="FF000000"/>
      <name val="Arial"/>
    </font>
    <font>
      <color rgb="FF000000"/>
      <name val="Arial"/>
    </font>
    <font>
      <u/>
      <color theme="1"/>
      <name val="Arial"/>
    </font>
    <font>
      <u/>
      <color rgb="FF0000FF"/>
    </font>
    <font>
      <color rgb="FF1A1A1A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horizontal="right" readingOrder="0" shrinkToFit="0" wrapText="1"/>
    </xf>
    <xf borderId="0" fillId="0" fontId="3" numFmtId="0" xfId="0" applyAlignment="1" applyFont="1">
      <alignment shrinkToFit="0" wrapText="1"/>
    </xf>
    <xf borderId="1" fillId="0" fontId="4" numFmtId="0" xfId="0" applyBorder="1" applyFont="1"/>
    <xf borderId="1" fillId="2" fontId="2" numFmtId="0" xfId="0" applyBorder="1" applyFill="1" applyFont="1"/>
    <xf borderId="1" fillId="2" fontId="2" numFmtId="0" xfId="0" applyAlignment="1" applyBorder="1" applyFont="1">
      <alignment readingOrder="0"/>
    </xf>
    <xf borderId="1" fillId="2" fontId="4" numFmtId="0" xfId="0" applyBorder="1" applyFont="1"/>
    <xf borderId="1" fillId="2" fontId="5" numFmtId="0" xfId="0" applyAlignment="1" applyBorder="1" applyFont="1">
      <alignment horizontal="right" readingOrder="0"/>
    </xf>
    <xf borderId="1" fillId="2" fontId="5" numFmtId="0" xfId="0" applyAlignment="1" applyBorder="1" applyFont="1">
      <alignment readingOrder="0"/>
    </xf>
    <xf borderId="1" fillId="2" fontId="5" numFmtId="3" xfId="0" applyAlignment="1" applyBorder="1" applyFont="1" applyNumberFormat="1">
      <alignment readingOrder="0"/>
    </xf>
    <xf borderId="1" fillId="2" fontId="5" numFmtId="0" xfId="0" applyBorder="1" applyFont="1"/>
    <xf borderId="1" fillId="0" fontId="5" numFmtId="3" xfId="0" applyAlignment="1" applyBorder="1" applyFont="1" applyNumberFormat="1">
      <alignment readingOrder="0"/>
    </xf>
    <xf borderId="1" fillId="0" fontId="5" numFmtId="3" xfId="0" applyBorder="1" applyFont="1" applyNumberFormat="1"/>
    <xf borderId="1" fillId="0" fontId="5" numFmtId="0" xfId="0" applyBorder="1" applyFont="1"/>
    <xf borderId="1" fillId="0" fontId="5" numFmtId="0" xfId="0" applyAlignment="1" applyBorder="1" applyFont="1">
      <alignment readingOrder="0"/>
    </xf>
    <xf borderId="1" fillId="0" fontId="5" numFmtId="0" xfId="0" applyAlignment="1" applyBorder="1" applyFont="1">
      <alignment horizontal="left" readingOrder="0"/>
    </xf>
    <xf borderId="1" fillId="2" fontId="4" numFmtId="0" xfId="0" applyAlignment="1" applyBorder="1" applyFont="1">
      <alignment readingOrder="0"/>
    </xf>
    <xf borderId="1" fillId="2" fontId="0" numFmtId="0" xfId="0" applyAlignment="1" applyBorder="1" applyFont="1">
      <alignment horizontal="right" readingOrder="0"/>
    </xf>
    <xf borderId="0" fillId="0" fontId="6" numFmtId="0" xfId="0" applyFont="1"/>
    <xf borderId="0" fillId="0" fontId="5" numFmtId="0" xfId="0" applyAlignment="1" applyFont="1">
      <alignment horizontal="right"/>
    </xf>
    <xf borderId="0" fillId="0" fontId="5" numFmtId="3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 shrinkToFit="0" wrapText="0"/>
    </xf>
    <xf borderId="0" fillId="0" fontId="4" numFmtId="0" xfId="0" applyFont="1"/>
    <xf borderId="0" fillId="0" fontId="7" numFmtId="0" xfId="0" applyAlignment="1" applyFont="1">
      <alignment readingOrder="0"/>
    </xf>
    <xf borderId="0" fillId="0" fontId="5" numFmtId="0" xfId="0" applyAlignment="1" applyFont="1">
      <alignment readingOrder="0"/>
    </xf>
    <xf borderId="0" fillId="3" fontId="5" numFmtId="3" xfId="0" applyAlignment="1" applyFill="1" applyFont="1" applyNumberFormat="1">
      <alignment readingOrder="0"/>
    </xf>
    <xf borderId="0" fillId="0" fontId="5" numFmtId="0" xfId="0" applyFont="1"/>
    <xf borderId="1" fillId="0" fontId="3" numFmtId="0" xfId="0" applyAlignment="1" applyBorder="1" applyFont="1">
      <alignment readingOrder="0"/>
    </xf>
    <xf borderId="0" fillId="0" fontId="3" numFmtId="0" xfId="0" applyFont="1"/>
    <xf borderId="1" fillId="0" fontId="5" numFmtId="164" xfId="0" applyAlignment="1" applyBorder="1" applyFont="1" applyNumberFormat="1">
      <alignment readingOrder="0"/>
    </xf>
    <xf borderId="0" fillId="0" fontId="3" numFmtId="0" xfId="0" applyAlignment="1" applyFont="1">
      <alignment horizontal="right" readingOrder="0"/>
    </xf>
    <xf borderId="0" fillId="0" fontId="8" numFmtId="0" xfId="0" applyAlignment="1" applyFont="1">
      <alignment readingOrder="0"/>
    </xf>
    <xf borderId="1" fillId="0" fontId="5" numFmtId="165" xfId="0" applyAlignment="1" applyBorder="1" applyFont="1" applyNumberForma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9" numFmtId="0" xfId="0" applyAlignment="1" applyBorder="1" applyFont="1">
      <alignment readingOrder="0"/>
    </xf>
    <xf borderId="1" fillId="0" fontId="9" numFmtId="0" xfId="0" applyBorder="1" applyFont="1"/>
    <xf borderId="1" fillId="0" fontId="10" numFmtId="0" xfId="0" applyAlignment="1" applyBorder="1" applyFont="1">
      <alignment horizontal="right" readingOrder="0"/>
    </xf>
    <xf borderId="1" fillId="0" fontId="11" numFmtId="0" xfId="0" applyAlignment="1" applyBorder="1" applyFont="1">
      <alignment horizontal="right" readingOrder="0"/>
    </xf>
    <xf borderId="1" fillId="0" fontId="4" numFmtId="0" xfId="0" applyAlignment="1" applyBorder="1" applyFont="1">
      <alignment readingOrder="0"/>
    </xf>
    <xf borderId="0" fillId="0" fontId="9" numFmtId="0" xfId="0" applyFont="1"/>
    <xf borderId="1" fillId="0" fontId="12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vertical="bottom"/>
    </xf>
    <xf borderId="1" fillId="0" fontId="13" numFmtId="0" xfId="0" applyAlignment="1" applyBorder="1" applyFont="1">
      <alignment horizontal="right" readingOrder="0" shrinkToFit="0" vertical="bottom" wrapText="0"/>
    </xf>
    <xf borderId="1" fillId="0" fontId="4" numFmtId="0" xfId="0" applyAlignment="1" applyBorder="1" applyFont="1">
      <alignment vertical="bottom"/>
    </xf>
    <xf borderId="0" fillId="0" fontId="13" numFmtId="0" xfId="0" applyAlignment="1" applyFont="1">
      <alignment shrinkToFit="0" vertical="bottom" wrapText="0"/>
    </xf>
    <xf borderId="0" fillId="0" fontId="3" numFmtId="0" xfId="0" applyAlignment="1" applyFont="1">
      <alignment readingOrder="0"/>
    </xf>
    <xf borderId="0" fillId="0" fontId="1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13" numFmtId="0" xfId="0" applyAlignment="1" applyFont="1">
      <alignment shrinkToFit="0" vertical="bottom" wrapText="0"/>
    </xf>
    <xf borderId="0" fillId="0" fontId="15" numFmtId="0" xfId="0" applyAlignment="1" applyFont="1">
      <alignment readingOrder="0"/>
    </xf>
    <xf borderId="1" fillId="0" fontId="3" numFmtId="0" xfId="0" applyAlignment="1" applyBorder="1" applyFont="1">
      <alignment horizontal="center" readingOrder="0"/>
    </xf>
    <xf borderId="1" fillId="3" fontId="16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left" readingOrder="0" shrinkToFit="0" vertical="bottom" wrapText="0"/>
    </xf>
    <xf borderId="1" fillId="0" fontId="2" numFmtId="0" xfId="0" applyAlignment="1" applyBorder="1" applyFont="1">
      <alignment horizontal="center" readingOrder="0" shrinkToFit="0" vertical="bottom" wrapText="0"/>
    </xf>
    <xf borderId="1" fillId="0" fontId="4" numFmtId="0" xfId="0" applyAlignment="1" applyBorder="1" applyFont="1">
      <alignment horizontal="center" readingOrder="0" shrinkToFit="0" vertical="bottom" wrapText="0"/>
    </xf>
    <xf borderId="1" fillId="0" fontId="4" numFmtId="0" xfId="0" applyAlignment="1" applyBorder="1" applyFont="1">
      <alignment horizontal="left" readingOrder="0" shrinkToFit="0" vertical="bottom" wrapText="0"/>
    </xf>
    <xf borderId="1" fillId="0" fontId="4" numFmtId="3" xfId="0" applyAlignment="1" applyBorder="1" applyFont="1" applyNumberForma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worldometers.info/world-population/population-by-country/" TargetMode="External"/><Relationship Id="rId2" Type="http://schemas.openxmlformats.org/officeDocument/2006/relationships/hyperlink" Target="https://www.worldometers.info/gdp/gdp-by-country/?source=imf&amp;year=2026&amp;metric=nominal&amp;region=worldwide" TargetMode="Externa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152400</xdr:colOff>
      <xdr:row>61</xdr:row>
      <xdr:rowOff>152400</xdr:rowOff>
    </xdr:from>
    <xdr:ext cx="7620000" cy="5448300"/>
    <xdr:sp>
      <xdr:nvSpPr>
        <xdr:cNvPr id="3" name="Shape 3"/>
        <xdr:cNvSpPr txBox="1"/>
      </xdr:nvSpPr>
      <xdr:spPr>
        <a:xfrm>
          <a:off x="-10150" y="162425"/>
          <a:ext cx="7620000" cy="54309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25</xdr:col>
      <xdr:colOff>76200</xdr:colOff>
      <xdr:row>1</xdr:row>
      <xdr:rowOff>76200</xdr:rowOff>
    </xdr:from>
    <xdr:ext cx="7486650" cy="5457825"/>
    <xdr:grpSp>
      <xdr:nvGrpSpPr>
        <xdr:cNvPr id="2" name="Shape 2" title="Drawing"/>
        <xdr:cNvGrpSpPr/>
      </xdr:nvGrpSpPr>
      <xdr:grpSpPr>
        <a:xfrm>
          <a:off x="-20300" y="142125"/>
          <a:ext cx="7501500" cy="5440800"/>
          <a:chOff x="-20300" y="142125"/>
          <a:chExt cx="7501500" cy="5440800"/>
        </a:xfrm>
      </xdr:grpSpPr>
      <xdr:sp>
        <xdr:nvSpPr>
          <xdr:cNvPr id="4" name="Shape 4"/>
          <xdr:cNvSpPr/>
        </xdr:nvSpPr>
        <xdr:spPr>
          <a:xfrm>
            <a:off x="-20300" y="142125"/>
            <a:ext cx="7501500" cy="5106000"/>
          </a:xfrm>
          <a:prstGeom prst="rect">
            <a:avLst/>
          </a:prstGeom>
          <a:solidFill>
            <a:srgbClr val="FFFFFF"/>
          </a:solidFill>
          <a:ln cap="flat" cmpd="sng" w="9525">
            <a:solidFill>
              <a:srgbClr val="FFFFFF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" name="Shape 5"/>
          <xdr:cNvSpPr txBox="1"/>
        </xdr:nvSpPr>
        <xdr:spPr>
          <a:xfrm>
            <a:off x="91350" y="142125"/>
            <a:ext cx="7271400" cy="54408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Note that France has low attendance because it played most of its matches in smaller stadiums.</a:t>
            </a:r>
            <a:endParaRPr sz="1000"/>
          </a:p>
          <a:p>
            <a:pPr indent="0" lvl="0" marL="0" rtl="0" algn="l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The UEFA Playoff Winners already have a spectator index of 0.868, they just need the distance decay weight applied to them the same way as every other nation.</a:t>
            </a:r>
            <a:endParaRPr sz="1000"/>
          </a:p>
          <a:p>
            <a:pPr indent="0" lvl="0" marL="0" rtl="0" algn="l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Since all four are European nations, we can use the average distance of the confirmed UEFA nations to their nearest host as a proxy. The confirmed UEFA nations have nearest host distances ranging from about 5,800 to 8,600 km, with most clustering around 6,000 to 7,500 km. A reasonable assumption would be to assign them the average nearest host distance of all confirmed UEFA nations, which would be approximately 7,000 km.</a:t>
            </a:r>
            <a:endParaRPr sz="1000"/>
          </a:p>
          <a:p>
            <a:pPr indent="0" lvl="0" marL="0" rtl="0" algn="l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000"/>
          </a:p>
          <a:p>
            <a:pPr indent="0" lvl="0" marL="0" rtl="0" algn="l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w = 1 / (1 + 7000 / 5000) = 1 / 2.4 = 0.417</a:t>
            </a:r>
            <a:endParaRPr sz="1000"/>
          </a:p>
          <a:p>
            <a:pPr indent="0" lvl="0" marL="0" rtl="0" algn="l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Then:</a:t>
            </a:r>
            <a:endParaRPr sz="1000"/>
          </a:p>
          <a:p>
            <a:pPr indent="0" lvl="0" marL="0" rtl="0" algn="l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fi* = 0.868 × 0.417 ≈ 0.362</a:t>
            </a:r>
            <a:endParaRPr sz="1000"/>
          </a:p>
          <a:p>
            <a:pPr indent="0" lvl="0" marL="0" rtl="0" algn="l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000"/>
          </a:p>
          <a:p>
            <a:pPr indent="0" lvl="0" marL="0" rtl="0" algn="l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That would bring them in line with the other UEFA nations sitting around 0.35–0.42, which is much more consistent.</a:t>
            </a:r>
            <a:endParaRPr sz="1000"/>
          </a:p>
          <a:p>
            <a:pPr indent="0" lvl="0" marL="0" rtl="0" algn="l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In Excel, the fix is simply to make sure the formula in the distance-adjusted spectator index column for those four rows is:</a:t>
            </a:r>
            <a:endParaRPr sz="1000"/>
          </a:p>
          <a:p>
            <a:pPr indent="0" lvl="0" marL="0" rtl="0" algn="l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spectator_index × (1 / (1 + nearest_host_distance / 5000))</a:t>
            </a:r>
            <a:endParaRPr sz="1000"/>
          </a:p>
          <a:p>
            <a:pPr indent="0" lvl="0" marL="0" rtl="0" algn="l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rather than whatever is currently there. Check whether those four cells have a hardcoded value or a broken formula reference — that is most likely why the weight was never applied.</a:t>
            </a:r>
            <a:endParaRPr sz="1000"/>
          </a:p>
          <a:p>
            <a:pPr indent="0" lvl="0" marL="0" rtl="0" algn="l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000"/>
          </a:p>
          <a:p>
            <a:pPr indent="0" lvl="0" marL="0" rtl="0" algn="l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For nations that did not qualify for Qatar 2022, g was estimated by scaling the g value of the most similar nation from the same confederation, adjusted by the ratio of GDP per capita, following the methodology of Ghoniem et al. (2017).</a:t>
            </a:r>
            <a:endParaRPr sz="1000"/>
          </a:p>
          <a:p>
            <a:pPr indent="0" lvl="0" marL="0" rtl="0" algn="l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000"/>
          </a:p>
          <a:p>
            <a:pPr indent="0" lvl="0" marL="0" rtl="0" algn="l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000"/>
          </a:p>
          <a:p>
            <a:pPr indent="0" lvl="0" marL="0" rtl="0" algn="l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000"/>
          </a:p>
          <a:p>
            <a:pPr indent="0" lvl="0" marL="0" rtl="0" algn="l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000"/>
          </a:p>
          <a:p>
            <a:pPr indent="0" lvl="0" marL="0" rtl="0" algn="l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000"/>
          </a:p>
          <a:p>
            <a:pPr indent="0" lvl="0" marL="0" rtl="0" algn="l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 u="sng">
                <a:solidFill>
                  <a:srgbClr val="000099"/>
                </a:solidFill>
                <a:hlinkClick r:id="rId1"/>
              </a:rPr>
              <a:t>https://www.worldometers.info/world-population/population-by-country/</a:t>
            </a:r>
            <a:endParaRPr sz="1000"/>
          </a:p>
          <a:p>
            <a:pPr indent="0" lvl="0" marL="0" rtl="0" algn="l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 u="sng">
                <a:solidFill>
                  <a:srgbClr val="000099"/>
                </a:solidFill>
                <a:hlinkClick r:id="rId2"/>
              </a:rPr>
              <a:t>https://www.worldometers.info/gdp/gdp-by-country/?source=imf&amp;year=2026&amp;metric=nominal&amp;region=worldwide</a:t>
            </a:r>
            <a:endParaRPr sz="1000"/>
          </a:p>
          <a:p>
            <a:pPr indent="0" lvl="0" marL="0" rtl="0" algn="l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/>
              <a:t>distancefromto.net/distance-from-austria-to-united-states</a:t>
            </a:r>
            <a:endParaRPr sz="1000"/>
          </a:p>
        </xdr:txBody>
      </xdr: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kaggle.com/datasets/parasharmanas/qatar-2022-fifa-world-cup-attendance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ifa.com/en/tournaments/mens/worldcup/canadamexicousa2026/articles/match-schedule-fixtures-results-teams-stadiums" TargetMode="External"/><Relationship Id="rId2" Type="http://schemas.openxmlformats.org/officeDocument/2006/relationships/hyperlink" Target="https://www.fifa.com/en/tournaments/mens/worldcup/canadamexicousa2026/articles/stadium-information-details?utm_source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5.63"/>
    <col customWidth="1" min="2" max="2" width="22.63"/>
    <col customWidth="1" min="3" max="3" width="7.63"/>
    <col customWidth="1" min="4" max="4" width="10.88"/>
    <col customWidth="1" min="5" max="5" width="13.0"/>
    <col customWidth="1" min="6" max="6" width="8.25"/>
    <col customWidth="1" min="7" max="7" width="8.0"/>
    <col customWidth="1" min="8" max="8" width="7.25"/>
    <col customWidth="1" min="9" max="9" width="15.13"/>
    <col customWidth="1" min="10" max="10" width="13.75"/>
    <col customWidth="1" min="11" max="12" width="14.75"/>
    <col customWidth="1" min="13" max="13" width="23.75"/>
    <col customWidth="1" min="14" max="14" width="15.5"/>
    <col customWidth="1" min="15" max="15" width="11.38"/>
    <col customWidth="1" min="16" max="16" width="13.75"/>
    <col customWidth="1" min="17" max="17" width="15.5"/>
    <col customWidth="1" min="18" max="18" width="11.38"/>
    <col customWidth="1" min="19" max="19" width="13.5"/>
    <col customWidth="1" min="20" max="20" width="11.13"/>
    <col customWidth="1" min="21" max="21" width="13.5"/>
    <col customWidth="1" min="22" max="22" width="13.38"/>
    <col customWidth="1" min="23" max="23" width="13.63"/>
    <col customWidth="1" min="24" max="24" width="15.88"/>
  </cols>
  <sheetData>
    <row r="1" ht="15.75" customHeight="1">
      <c r="A1" s="1"/>
      <c r="B1" s="2"/>
      <c r="C1" s="3" t="s">
        <v>0</v>
      </c>
      <c r="D1" s="3" t="s">
        <v>1</v>
      </c>
      <c r="E1" s="3" t="s">
        <v>2</v>
      </c>
      <c r="F1" s="3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5" t="s">
        <v>14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4" t="s">
        <v>2</v>
      </c>
      <c r="X1" s="4" t="s">
        <v>20</v>
      </c>
      <c r="Y1" s="4" t="s">
        <v>21</v>
      </c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</row>
    <row r="2" ht="15.75" customHeight="1">
      <c r="A2" s="7">
        <v>1.0</v>
      </c>
      <c r="B2" s="8" t="s">
        <v>22</v>
      </c>
      <c r="C2" s="9" t="s">
        <v>23</v>
      </c>
      <c r="D2" s="10" t="s">
        <v>24</v>
      </c>
      <c r="E2" s="10" t="s">
        <v>25</v>
      </c>
      <c r="F2" s="10">
        <v>24.0</v>
      </c>
      <c r="G2" s="11">
        <v>1585.51</v>
      </c>
      <c r="H2" s="12" t="s">
        <v>26</v>
      </c>
      <c r="I2" s="13">
        <v>6.04198E11</v>
      </c>
      <c r="J2" s="13">
        <v>65640.0</v>
      </c>
      <c r="K2" s="14">
        <f t="shared" ref="K2:K47" si="1">MIN(1, O2/$G$65)</f>
        <v>1</v>
      </c>
      <c r="L2" s="14">
        <f t="shared" ref="L2:L47" si="2">IF(OR(B2="United States",B2="Canada",B2="Mexico"),1,MIN(1,O2/$G$60))</f>
        <v>0.8896577812</v>
      </c>
      <c r="M2" s="12">
        <f t="shared" ref="M2:M47" si="3">L2*V2</f>
        <v>0.3623860616</v>
      </c>
      <c r="N2" s="12">
        <v>0.0</v>
      </c>
      <c r="O2" s="11">
        <f>IF(N2&gt;0,N2,VLOOKUP(V2,$V$2:$Y$6,4,FALSE))</f>
        <v>6133.52</v>
      </c>
      <c r="P2" s="11" t="s">
        <v>27</v>
      </c>
      <c r="Q2" s="14"/>
      <c r="R2" s="13">
        <v>8365.0</v>
      </c>
      <c r="S2" s="13">
        <v>7275.0</v>
      </c>
      <c r="T2" s="15">
        <v>9938.0</v>
      </c>
      <c r="U2" s="16">
        <f t="shared" ref="U2:U49" si="4">MIN(R2,T2,S2)</f>
        <v>7275</v>
      </c>
      <c r="V2" s="17">
        <f t="shared" ref="V2:V49" si="5">1/(1+U2/5000)</f>
        <v>0.4073319756</v>
      </c>
      <c r="W2" s="18" t="s">
        <v>25</v>
      </c>
      <c r="X2" s="17">
        <f>AVERAGEIFS($N$2:$N$45,$E$2:$E$45,"UEFA",$N$2:$N$45,"&gt;0")</f>
        <v>5984.764444</v>
      </c>
      <c r="Y2" s="17">
        <f>IFERROR(__xludf.DUMMYFUNCTION("MEDIAN(FILTER(N:N, E:E=""UEFA"", N:N&gt;0))"),6133.52)</f>
        <v>6133.52</v>
      </c>
    </row>
    <row r="3" ht="15.75" customHeight="1">
      <c r="A3" s="7">
        <v>2.0</v>
      </c>
      <c r="B3" s="8" t="s">
        <v>28</v>
      </c>
      <c r="C3" s="9" t="s">
        <v>29</v>
      </c>
      <c r="D3" s="10" t="s">
        <v>24</v>
      </c>
      <c r="E3" s="10" t="s">
        <v>25</v>
      </c>
      <c r="F3" s="10">
        <v>9.0</v>
      </c>
      <c r="G3" s="11">
        <v>1730.71</v>
      </c>
      <c r="H3" s="12" t="s">
        <v>30</v>
      </c>
      <c r="I3" s="13">
        <v>7.61174E11</v>
      </c>
      <c r="J3" s="13">
        <v>63896.0</v>
      </c>
      <c r="K3" s="14">
        <f t="shared" si="1"/>
        <v>1</v>
      </c>
      <c r="L3" s="14">
        <f t="shared" si="2"/>
        <v>0.7435417398</v>
      </c>
      <c r="M3" s="12">
        <f t="shared" si="3"/>
        <v>0.3209347979</v>
      </c>
      <c r="N3" s="12">
        <v>5126.16</v>
      </c>
      <c r="O3" s="11">
        <f t="shared" ref="O3:O13" si="6">IF(N3=0,XLOOKUP(E3,$W$2:$W$7,$X$2:$X$7),N3)</f>
        <v>5126.16</v>
      </c>
      <c r="P3" s="13">
        <v>1.1774642E7</v>
      </c>
      <c r="Q3" s="14"/>
      <c r="R3" s="13">
        <v>7573.0</v>
      </c>
      <c r="S3" s="13">
        <v>6584.0</v>
      </c>
      <c r="T3" s="15">
        <v>9137.0</v>
      </c>
      <c r="U3" s="16">
        <f t="shared" si="4"/>
        <v>6584</v>
      </c>
      <c r="V3" s="17">
        <f t="shared" si="5"/>
        <v>0.4316298343</v>
      </c>
      <c r="W3" s="19" t="s">
        <v>31</v>
      </c>
      <c r="X3" s="17">
        <f>AVERAGEIFS($N$2:$N$45,$E$2:$E$45,"AFC",$N$2:$N$45,"&gt;0")</f>
        <v>6027.706667</v>
      </c>
      <c r="Y3" s="17">
        <f>IFERROR(__xludf.DUMMYFUNCTION("MEDIAN(FILTER(N:N, E:E=""AFC"", N:N&gt;0))"),5173.620000000001)</f>
        <v>5173.62</v>
      </c>
    </row>
    <row r="4" ht="15.75" customHeight="1">
      <c r="A4" s="7">
        <v>3.0</v>
      </c>
      <c r="B4" s="8" t="s">
        <v>32</v>
      </c>
      <c r="C4" s="9" t="s">
        <v>33</v>
      </c>
      <c r="D4" s="10" t="s">
        <v>24</v>
      </c>
      <c r="E4" s="10" t="s">
        <v>25</v>
      </c>
      <c r="F4" s="10">
        <v>11.0</v>
      </c>
      <c r="G4" s="11">
        <v>1716.88</v>
      </c>
      <c r="H4" s="12" t="s">
        <v>26</v>
      </c>
      <c r="I4" s="13">
        <v>1.13132E11</v>
      </c>
      <c r="J4" s="13">
        <v>29368.0</v>
      </c>
      <c r="K4" s="14">
        <f t="shared" si="1"/>
        <v>1</v>
      </c>
      <c r="L4" s="14">
        <f t="shared" si="2"/>
        <v>0.857323573</v>
      </c>
      <c r="M4" s="12">
        <f t="shared" si="3"/>
        <v>0.3420810682</v>
      </c>
      <c r="N4" s="12">
        <v>5910.6</v>
      </c>
      <c r="O4" s="11">
        <f t="shared" si="6"/>
        <v>5910.6</v>
      </c>
      <c r="P4" s="13">
        <v>3822345.0</v>
      </c>
      <c r="Q4" s="14"/>
      <c r="R4" s="13">
        <v>8575.0</v>
      </c>
      <c r="S4" s="13">
        <v>7531.0</v>
      </c>
      <c r="T4" s="15">
        <v>10135.0</v>
      </c>
      <c r="U4" s="16">
        <f t="shared" si="4"/>
        <v>7531</v>
      </c>
      <c r="V4" s="17">
        <f t="shared" si="5"/>
        <v>0.3990104541</v>
      </c>
      <c r="W4" s="18" t="s">
        <v>34</v>
      </c>
      <c r="X4" s="17">
        <f>AVERAGEIFS($N$2:$N$45,$E$2:$E$45,"CAF",$N$2:$N$45,"&gt;0")</f>
        <v>5327.97</v>
      </c>
      <c r="Y4" s="17">
        <f>IFERROR(__xludf.DUMMYFUNCTION("MEDIAN(FILTER(N:N, E:E=""CAF"", N:N&gt;0))"),5169.26)</f>
        <v>5169.26</v>
      </c>
    </row>
    <row r="5" ht="15.75" customHeight="1">
      <c r="A5" s="7">
        <v>4.0</v>
      </c>
      <c r="B5" s="8" t="s">
        <v>35</v>
      </c>
      <c r="C5" s="9" t="s">
        <v>36</v>
      </c>
      <c r="D5" s="10" t="s">
        <v>24</v>
      </c>
      <c r="E5" s="10" t="s">
        <v>25</v>
      </c>
      <c r="F5" s="10">
        <v>4.0</v>
      </c>
      <c r="G5" s="11">
        <v>1834.12</v>
      </c>
      <c r="H5" s="12" t="s">
        <v>30</v>
      </c>
      <c r="I5" s="13">
        <v>4.225639E12</v>
      </c>
      <c r="J5" s="13">
        <v>60011.0</v>
      </c>
      <c r="K5" s="14">
        <f t="shared" si="1"/>
        <v>1</v>
      </c>
      <c r="L5" s="14">
        <f t="shared" si="2"/>
        <v>0.9172518049</v>
      </c>
      <c r="M5" s="12">
        <f t="shared" si="3"/>
        <v>0.4235946268</v>
      </c>
      <c r="N5" s="12">
        <v>6323.76</v>
      </c>
      <c r="O5" s="11">
        <f t="shared" si="6"/>
        <v>6323.76</v>
      </c>
      <c r="P5" s="13">
        <v>5.6536E7</v>
      </c>
      <c r="Q5" s="14"/>
      <c r="R5" s="13">
        <v>6848.0</v>
      </c>
      <c r="S5" s="13">
        <v>5827.0</v>
      </c>
      <c r="T5" s="15">
        <v>8429.0</v>
      </c>
      <c r="U5" s="16">
        <f t="shared" si="4"/>
        <v>5827</v>
      </c>
      <c r="V5" s="17">
        <f t="shared" si="5"/>
        <v>0.4618084419</v>
      </c>
      <c r="W5" s="10" t="s">
        <v>37</v>
      </c>
      <c r="X5" s="17">
        <f>AVERAGEIFS($N$2:$N$45,$E$2:$E$45,"CONMEBOL",$N$2:$N$45,"&gt;0")</f>
        <v>7693.53</v>
      </c>
      <c r="Y5" s="17">
        <f>IFERROR(__xludf.DUMMYFUNCTION("MEDIAN(FILTER(N:N, E:E=""CONMEBOL"", N:N&gt;0))"),7830.24)</f>
        <v>7830.24</v>
      </c>
    </row>
    <row r="6" ht="15.75" customHeight="1">
      <c r="A6" s="7">
        <v>5.0</v>
      </c>
      <c r="B6" s="8" t="s">
        <v>38</v>
      </c>
      <c r="C6" s="9" t="s">
        <v>39</v>
      </c>
      <c r="D6" s="10" t="s">
        <v>24</v>
      </c>
      <c r="E6" s="10" t="s">
        <v>25</v>
      </c>
      <c r="F6" s="10">
        <v>3.0</v>
      </c>
      <c r="G6" s="11">
        <v>1870.0</v>
      </c>
      <c r="H6" s="12" t="s">
        <v>30</v>
      </c>
      <c r="I6" s="13">
        <v>3.558562E12</v>
      </c>
      <c r="J6" s="13">
        <v>51708.0</v>
      </c>
      <c r="K6" s="14">
        <f t="shared" si="1"/>
        <v>1</v>
      </c>
      <c r="L6" s="14">
        <f t="shared" si="2"/>
        <v>0.7389466038</v>
      </c>
      <c r="M6" s="12">
        <f t="shared" si="3"/>
        <v>0.3114763968</v>
      </c>
      <c r="N6" s="12">
        <v>5094.48</v>
      </c>
      <c r="O6" s="11">
        <f t="shared" si="6"/>
        <v>5094.48</v>
      </c>
      <c r="P6" s="13">
        <v>6.6746401E7</v>
      </c>
      <c r="Q6" s="14"/>
      <c r="R6" s="13">
        <v>7685.0</v>
      </c>
      <c r="S6" s="13">
        <v>6862.0</v>
      </c>
      <c r="T6" s="15">
        <v>9207.0</v>
      </c>
      <c r="U6" s="16">
        <f t="shared" si="4"/>
        <v>6862</v>
      </c>
      <c r="V6" s="17">
        <f t="shared" si="5"/>
        <v>0.4215140786</v>
      </c>
      <c r="W6" s="10" t="s">
        <v>40</v>
      </c>
      <c r="X6" s="17">
        <f>AVERAGEIFS($N$2:$N$45,$E$2:$E$45,"CONCACAF",$N$2:$N$45,"&gt;0")</f>
        <v>6824.56</v>
      </c>
      <c r="Y6" s="17">
        <f>IFERROR(__xludf.DUMMYFUNCTION("MEDIAN(FILTER(N:N, E:E=""CONCACAF"", N:N&gt;0))"),6160.32)</f>
        <v>6160.32</v>
      </c>
    </row>
    <row r="7" ht="15.75" customHeight="1">
      <c r="A7" s="7">
        <v>6.0</v>
      </c>
      <c r="B7" s="8" t="s">
        <v>41</v>
      </c>
      <c r="C7" s="9" t="s">
        <v>42</v>
      </c>
      <c r="D7" s="10" t="s">
        <v>24</v>
      </c>
      <c r="E7" s="10" t="s">
        <v>25</v>
      </c>
      <c r="F7" s="10">
        <v>10.0</v>
      </c>
      <c r="G7" s="11">
        <v>1724.15</v>
      </c>
      <c r="H7" s="12" t="s">
        <v>30</v>
      </c>
      <c r="I7" s="13">
        <v>5.328184E12</v>
      </c>
      <c r="J7" s="13">
        <v>63600.0</v>
      </c>
      <c r="K7" s="14">
        <f t="shared" si="1"/>
        <v>1</v>
      </c>
      <c r="L7" s="14">
        <f t="shared" si="2"/>
        <v>1</v>
      </c>
      <c r="M7" s="12">
        <f t="shared" si="3"/>
        <v>0.4247005861</v>
      </c>
      <c r="N7" s="12">
        <v>7142.28</v>
      </c>
      <c r="O7" s="11">
        <f t="shared" si="6"/>
        <v>7142.28</v>
      </c>
      <c r="P7" s="13">
        <v>8.3644258E7</v>
      </c>
      <c r="Q7" s="14"/>
      <c r="R7" s="13">
        <v>7882.0</v>
      </c>
      <c r="S7" s="13">
        <v>6773.0</v>
      </c>
      <c r="T7" s="15">
        <v>9465.0</v>
      </c>
      <c r="U7" s="16">
        <f t="shared" si="4"/>
        <v>6773</v>
      </c>
      <c r="V7" s="17">
        <f t="shared" si="5"/>
        <v>0.4247005861</v>
      </c>
      <c r="W7" s="20" t="s">
        <v>43</v>
      </c>
      <c r="X7" s="17">
        <f t="shared" ref="X7:Y7" si="7">AVERAGEIF($N$2:$N$45,"&gt;0")</f>
        <v>6230.5696</v>
      </c>
      <c r="Y7" s="17">
        <f t="shared" si="7"/>
        <v>6230.5696</v>
      </c>
    </row>
    <row r="8" ht="15.75" customHeight="1">
      <c r="A8" s="7">
        <v>7.0</v>
      </c>
      <c r="B8" s="8" t="s">
        <v>44</v>
      </c>
      <c r="C8" s="9" t="s">
        <v>45</v>
      </c>
      <c r="D8" s="10" t="s">
        <v>24</v>
      </c>
      <c r="E8" s="10" t="s">
        <v>25</v>
      </c>
      <c r="F8" s="10">
        <v>7.0</v>
      </c>
      <c r="G8" s="11">
        <v>1756.27</v>
      </c>
      <c r="H8" s="12" t="s">
        <v>30</v>
      </c>
      <c r="I8" s="13">
        <v>1.413076E12</v>
      </c>
      <c r="J8" s="13">
        <v>77881.0</v>
      </c>
      <c r="K8" s="14">
        <f t="shared" si="1"/>
        <v>1</v>
      </c>
      <c r="L8" s="14">
        <f t="shared" si="2"/>
        <v>0.8896577812</v>
      </c>
      <c r="M8" s="12">
        <f t="shared" si="3"/>
        <v>0.3876504493</v>
      </c>
      <c r="N8" s="12">
        <v>6133.52</v>
      </c>
      <c r="O8" s="11">
        <f t="shared" si="6"/>
        <v>6133.52</v>
      </c>
      <c r="P8" s="13">
        <v>1.8448775E7</v>
      </c>
      <c r="Q8" s="14"/>
      <c r="R8" s="13">
        <v>7525.0</v>
      </c>
      <c r="S8" s="13">
        <v>6475.0</v>
      </c>
      <c r="T8" s="15">
        <v>9102.0</v>
      </c>
      <c r="U8" s="16">
        <f t="shared" si="4"/>
        <v>6475</v>
      </c>
      <c r="V8" s="17">
        <f t="shared" si="5"/>
        <v>0.4357298475</v>
      </c>
      <c r="W8" s="10"/>
      <c r="X8" s="15"/>
      <c r="Y8" s="15"/>
    </row>
    <row r="9" ht="15.75" customHeight="1">
      <c r="A9" s="7">
        <v>8.0</v>
      </c>
      <c r="B9" s="8" t="s">
        <v>46</v>
      </c>
      <c r="C9" s="9" t="s">
        <v>47</v>
      </c>
      <c r="D9" s="10" t="s">
        <v>24</v>
      </c>
      <c r="E9" s="10" t="s">
        <v>25</v>
      </c>
      <c r="F9" s="10">
        <v>32.0</v>
      </c>
      <c r="G9" s="21">
        <v>1533.14</v>
      </c>
      <c r="H9" s="12" t="s">
        <v>48</v>
      </c>
      <c r="I9" s="13">
        <v>5.47693E11</v>
      </c>
      <c r="J9" s="13">
        <v>96580.0</v>
      </c>
      <c r="K9" s="14">
        <f t="shared" si="1"/>
        <v>1</v>
      </c>
      <c r="L9" s="14">
        <f t="shared" si="2"/>
        <v>0.8680810133</v>
      </c>
      <c r="M9" s="12">
        <f t="shared" si="3"/>
        <v>0.3992645632</v>
      </c>
      <c r="N9" s="12">
        <v>0.0</v>
      </c>
      <c r="O9" s="11">
        <f t="shared" si="6"/>
        <v>5984.764444</v>
      </c>
      <c r="P9" s="13">
        <v>5652989.0</v>
      </c>
      <c r="Q9" s="14"/>
      <c r="R9" s="13">
        <v>7205.0</v>
      </c>
      <c r="S9" s="13">
        <v>5871.0</v>
      </c>
      <c r="T9" s="15">
        <v>8825.0</v>
      </c>
      <c r="U9" s="16">
        <f t="shared" si="4"/>
        <v>5871</v>
      </c>
      <c r="V9" s="17">
        <f t="shared" si="5"/>
        <v>0.459939288</v>
      </c>
      <c r="W9" s="17"/>
      <c r="X9" s="15"/>
      <c r="Y9" s="15"/>
    </row>
    <row r="10" ht="15.75" customHeight="1">
      <c r="A10" s="7">
        <v>9.0</v>
      </c>
      <c r="B10" s="8" t="s">
        <v>49</v>
      </c>
      <c r="C10" s="9" t="s">
        <v>50</v>
      </c>
      <c r="D10" s="10" t="s">
        <v>24</v>
      </c>
      <c r="E10" s="10" t="s">
        <v>25</v>
      </c>
      <c r="F10" s="10">
        <v>6.0</v>
      </c>
      <c r="G10" s="11">
        <v>1760.38</v>
      </c>
      <c r="H10" s="12" t="s">
        <v>30</v>
      </c>
      <c r="I10" s="13">
        <v>3.64527E11</v>
      </c>
      <c r="J10" s="13">
        <v>33972.0</v>
      </c>
      <c r="K10" s="14">
        <f t="shared" si="1"/>
        <v>1</v>
      </c>
      <c r="L10" s="14">
        <f t="shared" si="2"/>
        <v>1</v>
      </c>
      <c r="M10" s="12">
        <f t="shared" si="3"/>
        <v>0.4189008043</v>
      </c>
      <c r="N10" s="12">
        <v>7017.08</v>
      </c>
      <c r="O10" s="11">
        <f t="shared" si="6"/>
        <v>7017.08</v>
      </c>
      <c r="P10" s="13">
        <v>1.0395362E7</v>
      </c>
      <c r="Q10" s="14"/>
      <c r="R10" s="13">
        <v>7335.0</v>
      </c>
      <c r="S10" s="13">
        <v>6936.0</v>
      </c>
      <c r="T10" s="15">
        <v>8734.0</v>
      </c>
      <c r="U10" s="16">
        <f t="shared" si="4"/>
        <v>6936</v>
      </c>
      <c r="V10" s="17">
        <f t="shared" si="5"/>
        <v>0.4189008043</v>
      </c>
      <c r="W10" s="17"/>
      <c r="X10" s="15"/>
      <c r="Y10" s="15"/>
    </row>
    <row r="11" ht="15.75" customHeight="1">
      <c r="A11" s="7">
        <v>10.0</v>
      </c>
      <c r="B11" s="8" t="s">
        <v>51</v>
      </c>
      <c r="C11" s="9" t="s">
        <v>52</v>
      </c>
      <c r="D11" s="10" t="s">
        <v>24</v>
      </c>
      <c r="E11" s="10" t="s">
        <v>25</v>
      </c>
      <c r="F11" s="10">
        <v>38.0</v>
      </c>
      <c r="G11" s="11">
        <v>1506.77</v>
      </c>
      <c r="H11" s="12" t="s">
        <v>48</v>
      </c>
      <c r="I11" s="13">
        <v>4.225639E12</v>
      </c>
      <c r="J11" s="13">
        <v>60011.0</v>
      </c>
      <c r="K11" s="14">
        <f t="shared" si="1"/>
        <v>1</v>
      </c>
      <c r="L11" s="14">
        <f t="shared" si="2"/>
        <v>0.8680810133</v>
      </c>
      <c r="M11" s="12">
        <f t="shared" si="3"/>
        <v>0.4008871402</v>
      </c>
      <c r="N11" s="12">
        <v>0.0</v>
      </c>
      <c r="O11" s="11">
        <f t="shared" si="6"/>
        <v>5984.764444</v>
      </c>
      <c r="P11" s="13">
        <v>5480000.0</v>
      </c>
      <c r="Q11" s="14"/>
      <c r="R11" s="13">
        <v>6848.0</v>
      </c>
      <c r="S11" s="13">
        <v>5827.0</v>
      </c>
      <c r="T11" s="18">
        <v>8429.0</v>
      </c>
      <c r="U11" s="16">
        <f t="shared" si="4"/>
        <v>5827</v>
      </c>
      <c r="V11" s="17">
        <f t="shared" si="5"/>
        <v>0.4618084419</v>
      </c>
      <c r="W11" s="17"/>
      <c r="X11" s="15"/>
      <c r="Y11" s="15"/>
    </row>
    <row r="12" ht="15.75" customHeight="1">
      <c r="A12" s="7">
        <v>11.0</v>
      </c>
      <c r="B12" s="8" t="s">
        <v>53</v>
      </c>
      <c r="C12" s="9" t="s">
        <v>54</v>
      </c>
      <c r="D12" s="10"/>
      <c r="E12" s="10" t="s">
        <v>25</v>
      </c>
      <c r="F12" s="10">
        <v>1.0</v>
      </c>
      <c r="G12" s="11">
        <v>1877.18</v>
      </c>
      <c r="H12" s="12" t="s">
        <v>30</v>
      </c>
      <c r="I12" s="13">
        <v>2.04183E12</v>
      </c>
      <c r="J12" s="13">
        <v>40582.0</v>
      </c>
      <c r="K12" s="14">
        <f t="shared" si="1"/>
        <v>1</v>
      </c>
      <c r="L12" s="14">
        <f t="shared" si="2"/>
        <v>0.8921003977</v>
      </c>
      <c r="M12" s="12">
        <f t="shared" si="3"/>
        <v>0.3690635437</v>
      </c>
      <c r="N12" s="12">
        <v>6150.36</v>
      </c>
      <c r="O12" s="11">
        <f t="shared" si="6"/>
        <v>6150.36</v>
      </c>
      <c r="P12" s="13">
        <v>4.7850793E7</v>
      </c>
      <c r="Q12" s="14"/>
      <c r="R12" s="13">
        <v>7613.0</v>
      </c>
      <c r="S12" s="13">
        <v>7086.0</v>
      </c>
      <c r="T12" s="15">
        <v>9048.0</v>
      </c>
      <c r="U12" s="16">
        <f t="shared" si="4"/>
        <v>7086</v>
      </c>
      <c r="V12" s="17">
        <f t="shared" si="5"/>
        <v>0.4137018037</v>
      </c>
      <c r="W12" s="17"/>
      <c r="X12" s="15"/>
      <c r="Y12" s="15"/>
    </row>
    <row r="13" ht="15.75" customHeight="1">
      <c r="A13" s="7">
        <v>12.0</v>
      </c>
      <c r="B13" s="8" t="s">
        <v>55</v>
      </c>
      <c r="C13" s="9" t="s">
        <v>56</v>
      </c>
      <c r="D13" s="10" t="s">
        <v>24</v>
      </c>
      <c r="E13" s="10" t="s">
        <v>25</v>
      </c>
      <c r="F13" s="10">
        <v>18.0</v>
      </c>
      <c r="G13" s="11">
        <v>1654.69</v>
      </c>
      <c r="H13" s="12" t="s">
        <v>26</v>
      </c>
      <c r="I13" s="13">
        <v>1.074588E12</v>
      </c>
      <c r="J13" s="13">
        <v>118173.0</v>
      </c>
      <c r="K13" s="14">
        <f t="shared" si="1"/>
        <v>1</v>
      </c>
      <c r="L13" s="14">
        <f t="shared" si="2"/>
        <v>0.7201135086</v>
      </c>
      <c r="M13" s="12">
        <f t="shared" si="3"/>
        <v>0.2981095829</v>
      </c>
      <c r="N13" s="12">
        <v>4964.64</v>
      </c>
      <c r="O13" s="11">
        <f t="shared" si="6"/>
        <v>4964.64</v>
      </c>
      <c r="P13" s="13">
        <v>9007798.0</v>
      </c>
      <c r="Q13" s="14"/>
      <c r="R13" s="13">
        <v>8031.0</v>
      </c>
      <c r="S13" s="13">
        <v>7078.0</v>
      </c>
      <c r="T13" s="15">
        <v>9579.0</v>
      </c>
      <c r="U13" s="16">
        <f t="shared" si="4"/>
        <v>7078</v>
      </c>
      <c r="V13" s="17">
        <f t="shared" si="5"/>
        <v>0.4139758238</v>
      </c>
      <c r="W13" s="17"/>
      <c r="X13" s="15"/>
      <c r="Y13" s="15"/>
    </row>
    <row r="14" ht="15.75" customHeight="1">
      <c r="A14" s="7">
        <v>13.0</v>
      </c>
      <c r="B14" s="8" t="s">
        <v>57</v>
      </c>
      <c r="C14" s="8"/>
      <c r="D14" s="10" t="s">
        <v>24</v>
      </c>
      <c r="E14" s="10" t="s">
        <v>25</v>
      </c>
      <c r="F14" s="10"/>
      <c r="G14" s="14"/>
      <c r="H14" s="12" t="s">
        <v>58</v>
      </c>
      <c r="I14" s="12" t="s">
        <v>59</v>
      </c>
      <c r="J14" s="12" t="s">
        <v>59</v>
      </c>
      <c r="K14" s="14">
        <f t="shared" si="1"/>
        <v>1</v>
      </c>
      <c r="L14" s="14">
        <f t="shared" si="2"/>
        <v>0.7378688613</v>
      </c>
      <c r="M14" s="12">
        <f t="shared" si="3"/>
        <v>0.3074453589</v>
      </c>
      <c r="N14" s="12">
        <v>0.0</v>
      </c>
      <c r="O14" s="11">
        <f t="shared" ref="O14:O17" si="8">IF(N14&gt;0,N2,0.85*X$2)</f>
        <v>5087.049778</v>
      </c>
      <c r="P14" s="12"/>
      <c r="Q14" s="14"/>
      <c r="R14" s="12">
        <v>7000.0</v>
      </c>
      <c r="S14" s="12">
        <v>7000.0</v>
      </c>
      <c r="T14" s="18">
        <v>7000.0</v>
      </c>
      <c r="U14" s="17">
        <f t="shared" si="4"/>
        <v>7000</v>
      </c>
      <c r="V14" s="17">
        <f t="shared" si="5"/>
        <v>0.4166666667</v>
      </c>
      <c r="W14" s="17"/>
      <c r="X14" s="18"/>
      <c r="Y14" s="17"/>
    </row>
    <row r="15" ht="15.75" customHeight="1">
      <c r="A15" s="7">
        <v>14.0</v>
      </c>
      <c r="B15" s="8" t="s">
        <v>60</v>
      </c>
      <c r="C15" s="8"/>
      <c r="D15" s="10" t="s">
        <v>24</v>
      </c>
      <c r="E15" s="10" t="s">
        <v>25</v>
      </c>
      <c r="F15" s="10"/>
      <c r="G15" s="14"/>
      <c r="H15" s="12" t="s">
        <v>58</v>
      </c>
      <c r="I15" s="12" t="s">
        <v>59</v>
      </c>
      <c r="J15" s="12" t="s">
        <v>59</v>
      </c>
      <c r="K15" s="14">
        <f t="shared" si="1"/>
        <v>1</v>
      </c>
      <c r="L15" s="14">
        <f t="shared" si="2"/>
        <v>0.7378688613</v>
      </c>
      <c r="M15" s="12">
        <f t="shared" si="3"/>
        <v>0.3074453589</v>
      </c>
      <c r="N15" s="12">
        <v>0.0</v>
      </c>
      <c r="O15" s="11">
        <f t="shared" si="8"/>
        <v>5087.049778</v>
      </c>
      <c r="P15" s="12"/>
      <c r="Q15" s="14"/>
      <c r="R15" s="12">
        <v>7000.0</v>
      </c>
      <c r="S15" s="12">
        <v>7000.0</v>
      </c>
      <c r="T15" s="18">
        <v>7000.0</v>
      </c>
      <c r="U15" s="17">
        <f t="shared" si="4"/>
        <v>7000</v>
      </c>
      <c r="V15" s="17">
        <f t="shared" si="5"/>
        <v>0.4166666667</v>
      </c>
      <c r="W15" s="17"/>
      <c r="X15" s="18"/>
      <c r="Y15" s="17"/>
    </row>
    <row r="16" ht="15.75" customHeight="1">
      <c r="A16" s="7">
        <v>15.0</v>
      </c>
      <c r="B16" s="8" t="s">
        <v>61</v>
      </c>
      <c r="C16" s="8"/>
      <c r="D16" s="10" t="s">
        <v>24</v>
      </c>
      <c r="E16" s="10" t="s">
        <v>25</v>
      </c>
      <c r="F16" s="10"/>
      <c r="G16" s="14"/>
      <c r="H16" s="12" t="s">
        <v>58</v>
      </c>
      <c r="I16" s="12" t="s">
        <v>59</v>
      </c>
      <c r="J16" s="12" t="s">
        <v>59</v>
      </c>
      <c r="K16" s="14">
        <f t="shared" si="1"/>
        <v>1</v>
      </c>
      <c r="L16" s="14">
        <f t="shared" si="2"/>
        <v>0.7378688613</v>
      </c>
      <c r="M16" s="12">
        <f t="shared" si="3"/>
        <v>0.3074453589</v>
      </c>
      <c r="N16" s="12">
        <v>0.0</v>
      </c>
      <c r="O16" s="11">
        <f t="shared" si="8"/>
        <v>5087.049778</v>
      </c>
      <c r="P16" s="12"/>
      <c r="Q16" s="14"/>
      <c r="R16" s="12">
        <v>7000.0</v>
      </c>
      <c r="S16" s="12">
        <v>7000.0</v>
      </c>
      <c r="T16" s="18">
        <v>7000.0</v>
      </c>
      <c r="U16" s="17">
        <f t="shared" si="4"/>
        <v>7000</v>
      </c>
      <c r="V16" s="17">
        <f t="shared" si="5"/>
        <v>0.4166666667</v>
      </c>
      <c r="W16" s="17"/>
      <c r="X16" s="18"/>
      <c r="Y16" s="17"/>
    </row>
    <row r="17" ht="15.75" customHeight="1">
      <c r="A17" s="7">
        <v>16.0</v>
      </c>
      <c r="B17" s="8" t="s">
        <v>62</v>
      </c>
      <c r="C17" s="8"/>
      <c r="D17" s="10" t="s">
        <v>24</v>
      </c>
      <c r="E17" s="10" t="s">
        <v>25</v>
      </c>
      <c r="F17" s="10"/>
      <c r="G17" s="14"/>
      <c r="H17" s="12" t="s">
        <v>58</v>
      </c>
      <c r="I17" s="12" t="s">
        <v>59</v>
      </c>
      <c r="J17" s="12" t="s">
        <v>59</v>
      </c>
      <c r="K17" s="14">
        <f t="shared" si="1"/>
        <v>1</v>
      </c>
      <c r="L17" s="14">
        <f t="shared" si="2"/>
        <v>0.7378688613</v>
      </c>
      <c r="M17" s="12">
        <f t="shared" si="3"/>
        <v>0.3074453589</v>
      </c>
      <c r="N17" s="12">
        <v>0.0</v>
      </c>
      <c r="O17" s="11">
        <f t="shared" si="8"/>
        <v>5087.049778</v>
      </c>
      <c r="P17" s="12"/>
      <c r="Q17" s="14"/>
      <c r="R17" s="12">
        <v>7000.0</v>
      </c>
      <c r="S17" s="12">
        <v>7000.0</v>
      </c>
      <c r="T17" s="18">
        <v>7000.0</v>
      </c>
      <c r="U17" s="17">
        <f t="shared" si="4"/>
        <v>7000</v>
      </c>
      <c r="V17" s="17">
        <f t="shared" si="5"/>
        <v>0.4166666667</v>
      </c>
      <c r="W17" s="17"/>
      <c r="X17" s="18"/>
      <c r="Y17" s="17"/>
    </row>
    <row r="18" ht="15.75" customHeight="1">
      <c r="A18" s="7">
        <v>17.0</v>
      </c>
      <c r="B18" s="8" t="s">
        <v>63</v>
      </c>
      <c r="C18" s="8"/>
      <c r="D18" s="10" t="s">
        <v>64</v>
      </c>
      <c r="E18" s="10" t="s">
        <v>31</v>
      </c>
      <c r="F18" s="10">
        <v>27.0</v>
      </c>
      <c r="G18" s="12">
        <v>1574.01</v>
      </c>
      <c r="H18" s="12" t="s">
        <v>26</v>
      </c>
      <c r="I18" s="13">
        <v>1.948227E12</v>
      </c>
      <c r="J18" s="13">
        <v>69358.0</v>
      </c>
      <c r="K18" s="14">
        <f t="shared" si="1"/>
        <v>1</v>
      </c>
      <c r="L18" s="14">
        <f t="shared" si="2"/>
        <v>0.7190343478</v>
      </c>
      <c r="M18" s="12">
        <f t="shared" si="3"/>
        <v>0.1877962672</v>
      </c>
      <c r="N18" s="12">
        <v>4957.2</v>
      </c>
      <c r="O18" s="11">
        <f t="shared" ref="O18:O47" si="9">IF(N18=0,XLOOKUP(E18,$W$2:$W$7,$X$2:$X$7),N18)</f>
        <v>4957.2</v>
      </c>
      <c r="P18" s="13">
        <v>2.7227096E7</v>
      </c>
      <c r="Q18" s="14"/>
      <c r="R18" s="13">
        <v>15187.0</v>
      </c>
      <c r="S18" s="13">
        <v>14144.0</v>
      </c>
      <c r="T18" s="15">
        <v>14359.0</v>
      </c>
      <c r="U18" s="16">
        <f t="shared" si="4"/>
        <v>14144</v>
      </c>
      <c r="V18" s="17">
        <f t="shared" si="5"/>
        <v>0.2611784371</v>
      </c>
      <c r="W18" s="17"/>
      <c r="X18" s="18"/>
      <c r="Y18" s="17"/>
    </row>
    <row r="19" ht="15.75" customHeight="1">
      <c r="A19" s="7">
        <v>18.0</v>
      </c>
      <c r="B19" s="8" t="s">
        <v>65</v>
      </c>
      <c r="C19" s="9" t="s">
        <v>66</v>
      </c>
      <c r="D19" s="10" t="s">
        <v>67</v>
      </c>
      <c r="E19" s="10" t="s">
        <v>31</v>
      </c>
      <c r="F19" s="10">
        <v>20.0</v>
      </c>
      <c r="G19" s="12">
        <v>1617.02</v>
      </c>
      <c r="H19" s="12" t="s">
        <v>26</v>
      </c>
      <c r="I19" s="13">
        <v>3.75644E11</v>
      </c>
      <c r="J19" s="13">
        <v>4250.0</v>
      </c>
      <c r="K19" s="14">
        <f t="shared" si="1"/>
        <v>1</v>
      </c>
      <c r="L19" s="14">
        <f t="shared" si="2"/>
        <v>0.7445976928</v>
      </c>
      <c r="M19" s="12">
        <f t="shared" si="3"/>
        <v>0.2480173515</v>
      </c>
      <c r="N19" s="12">
        <v>5133.44</v>
      </c>
      <c r="O19" s="11">
        <f t="shared" si="9"/>
        <v>5133.44</v>
      </c>
      <c r="P19" s="13">
        <v>9.3168497E7</v>
      </c>
      <c r="Q19" s="14"/>
      <c r="R19" s="13">
        <v>11681.0</v>
      </c>
      <c r="S19" s="13">
        <v>10011.0</v>
      </c>
      <c r="T19" s="15">
        <v>13310.0</v>
      </c>
      <c r="U19" s="16">
        <f t="shared" si="4"/>
        <v>10011</v>
      </c>
      <c r="V19" s="17">
        <f t="shared" si="5"/>
        <v>0.333089068</v>
      </c>
      <c r="W19" s="17"/>
      <c r="X19" s="18"/>
      <c r="Y19" s="17"/>
    </row>
    <row r="20" ht="15.75" customHeight="1">
      <c r="A20" s="7">
        <v>19.0</v>
      </c>
      <c r="B20" s="8" t="s">
        <v>68</v>
      </c>
      <c r="C20" s="9" t="s">
        <v>69</v>
      </c>
      <c r="D20" s="10" t="s">
        <v>67</v>
      </c>
      <c r="E20" s="10" t="s">
        <v>31</v>
      </c>
      <c r="F20" s="10">
        <v>19.0</v>
      </c>
      <c r="G20" s="12">
        <v>1650.12</v>
      </c>
      <c r="H20" s="12" t="s">
        <v>26</v>
      </c>
      <c r="I20" s="13">
        <v>4.463634E12</v>
      </c>
      <c r="J20" s="13">
        <v>36391.0</v>
      </c>
      <c r="K20" s="14">
        <f t="shared" si="1"/>
        <v>1</v>
      </c>
      <c r="L20" s="14">
        <f t="shared" si="2"/>
        <v>0.7480904603</v>
      </c>
      <c r="M20" s="12">
        <f t="shared" si="3"/>
        <v>0.2854653363</v>
      </c>
      <c r="N20" s="12">
        <v>5157.52</v>
      </c>
      <c r="O20" s="11">
        <f t="shared" si="9"/>
        <v>5157.52</v>
      </c>
      <c r="P20" s="13">
        <v>1.22427731E8</v>
      </c>
      <c r="Q20" s="14"/>
      <c r="R20" s="13">
        <v>10173.0</v>
      </c>
      <c r="S20" s="13">
        <v>8103.0</v>
      </c>
      <c r="T20" s="15">
        <v>10817.0</v>
      </c>
      <c r="U20" s="16">
        <f t="shared" si="4"/>
        <v>8103</v>
      </c>
      <c r="V20" s="17">
        <f t="shared" si="5"/>
        <v>0.3815920018</v>
      </c>
      <c r="W20" s="17"/>
      <c r="X20" s="18"/>
      <c r="Y20" s="17"/>
    </row>
    <row r="21" ht="15.75" customHeight="1">
      <c r="A21" s="7">
        <v>20.0</v>
      </c>
      <c r="B21" s="8" t="s">
        <v>70</v>
      </c>
      <c r="C21" s="9" t="s">
        <v>71</v>
      </c>
      <c r="D21" s="10" t="s">
        <v>67</v>
      </c>
      <c r="E21" s="10" t="s">
        <v>31</v>
      </c>
      <c r="F21" s="10">
        <v>64.0</v>
      </c>
      <c r="G21" s="12">
        <v>1388.93</v>
      </c>
      <c r="H21" s="12" t="s">
        <v>58</v>
      </c>
      <c r="I21" s="13">
        <v>5.9288E10</v>
      </c>
      <c r="J21" s="13">
        <v>5149.0</v>
      </c>
      <c r="K21" s="14">
        <f t="shared" si="1"/>
        <v>1</v>
      </c>
      <c r="L21" s="14">
        <f t="shared" si="2"/>
        <v>0.8743097176</v>
      </c>
      <c r="M21" s="12">
        <f t="shared" si="3"/>
        <v>0.2960750821</v>
      </c>
      <c r="N21" s="12">
        <v>0.0</v>
      </c>
      <c r="O21" s="11">
        <f t="shared" si="9"/>
        <v>6027.706667</v>
      </c>
      <c r="P21" s="13">
        <v>1.1589532E7</v>
      </c>
      <c r="Q21" s="14"/>
      <c r="R21" s="13">
        <v>11003.0</v>
      </c>
      <c r="S21" s="13">
        <v>9765.0</v>
      </c>
      <c r="T21" s="15">
        <v>12575.0</v>
      </c>
      <c r="U21" s="16">
        <f t="shared" si="4"/>
        <v>9765</v>
      </c>
      <c r="V21" s="17">
        <f t="shared" si="5"/>
        <v>0.3386386725</v>
      </c>
      <c r="W21" s="17"/>
      <c r="X21" s="18"/>
      <c r="Y21" s="17"/>
    </row>
    <row r="22" ht="15.75" customHeight="1">
      <c r="A22" s="7">
        <v>21.0</v>
      </c>
      <c r="B22" s="8" t="s">
        <v>72</v>
      </c>
      <c r="C22" s="9" t="s">
        <v>73</v>
      </c>
      <c r="D22" s="10" t="s">
        <v>67</v>
      </c>
      <c r="E22" s="10" t="s">
        <v>31</v>
      </c>
      <c r="F22" s="10">
        <v>22.0</v>
      </c>
      <c r="G22" s="12">
        <v>1599.45</v>
      </c>
      <c r="H22" s="12" t="s">
        <v>26</v>
      </c>
      <c r="I22" s="13">
        <v>1.936617E12</v>
      </c>
      <c r="J22" s="13">
        <v>37523.0</v>
      </c>
      <c r="K22" s="14">
        <f t="shared" si="1"/>
        <v>1</v>
      </c>
      <c r="L22" s="14">
        <f t="shared" si="2"/>
        <v>0.7527610215</v>
      </c>
      <c r="M22" s="12">
        <f t="shared" si="3"/>
        <v>0.2767300277</v>
      </c>
      <c r="N22" s="12">
        <v>5189.72</v>
      </c>
      <c r="O22" s="11">
        <f t="shared" si="9"/>
        <v>5189.72</v>
      </c>
      <c r="P22" s="13">
        <v>5.1600388E7</v>
      </c>
      <c r="Q22" s="14"/>
      <c r="R22" s="13">
        <v>10766.0</v>
      </c>
      <c r="S22" s="13">
        <v>8601.0</v>
      </c>
      <c r="T22" s="15">
        <v>11563.0</v>
      </c>
      <c r="U22" s="16">
        <f t="shared" si="4"/>
        <v>8601</v>
      </c>
      <c r="V22" s="17">
        <f t="shared" si="5"/>
        <v>0.3676200279</v>
      </c>
      <c r="W22" s="17"/>
      <c r="X22" s="18"/>
      <c r="Y22" s="17"/>
    </row>
    <row r="23" ht="15.75" customHeight="1">
      <c r="A23" s="7">
        <v>22.0</v>
      </c>
      <c r="B23" s="8" t="s">
        <v>74</v>
      </c>
      <c r="C23" s="9" t="s">
        <v>75</v>
      </c>
      <c r="D23" s="10" t="s">
        <v>67</v>
      </c>
      <c r="E23" s="10" t="s">
        <v>31</v>
      </c>
      <c r="F23" s="10">
        <v>56.0</v>
      </c>
      <c r="G23" s="12">
        <v>1454.96</v>
      </c>
      <c r="H23" s="12" t="s">
        <v>48</v>
      </c>
      <c r="I23" s="13">
        <v>2.39142E11</v>
      </c>
      <c r="J23" s="13">
        <v>76534.0</v>
      </c>
      <c r="K23" s="14">
        <f t="shared" si="1"/>
        <v>1</v>
      </c>
      <c r="L23" s="14">
        <f t="shared" si="2"/>
        <v>1</v>
      </c>
      <c r="M23" s="12">
        <f t="shared" si="3"/>
        <v>0.317884163</v>
      </c>
      <c r="N23" s="12">
        <v>7038.12</v>
      </c>
      <c r="O23" s="11">
        <f t="shared" si="9"/>
        <v>7038.12</v>
      </c>
      <c r="P23" s="13">
        <v>3173559.0</v>
      </c>
      <c r="Q23" s="14"/>
      <c r="R23" s="13">
        <v>12277.0</v>
      </c>
      <c r="S23" s="13">
        <v>10729.0</v>
      </c>
      <c r="T23" s="15">
        <v>13895.0</v>
      </c>
      <c r="U23" s="16">
        <f t="shared" si="4"/>
        <v>10729</v>
      </c>
      <c r="V23" s="17">
        <f t="shared" si="5"/>
        <v>0.317884163</v>
      </c>
      <c r="W23" s="17"/>
      <c r="X23" s="18"/>
      <c r="Y23" s="17"/>
    </row>
    <row r="24" ht="15.75" customHeight="1">
      <c r="A24" s="7">
        <v>23.0</v>
      </c>
      <c r="B24" s="8" t="s">
        <v>76</v>
      </c>
      <c r="C24" s="9" t="s">
        <v>77</v>
      </c>
      <c r="D24" s="10" t="s">
        <v>67</v>
      </c>
      <c r="E24" s="10" t="s">
        <v>31</v>
      </c>
      <c r="F24" s="10">
        <v>61.0</v>
      </c>
      <c r="G24" s="12">
        <v>1429.48</v>
      </c>
      <c r="H24" s="12" t="s">
        <v>48</v>
      </c>
      <c r="I24" s="13">
        <v>1.31625E12</v>
      </c>
      <c r="J24" s="13">
        <v>35839.0</v>
      </c>
      <c r="K24" s="14">
        <f t="shared" si="1"/>
        <v>1</v>
      </c>
      <c r="L24" s="14">
        <f t="shared" si="2"/>
        <v>1</v>
      </c>
      <c r="M24" s="12">
        <f t="shared" si="3"/>
        <v>0.3177023764</v>
      </c>
      <c r="N24" s="12">
        <v>8690.24</v>
      </c>
      <c r="O24" s="11">
        <f t="shared" si="9"/>
        <v>8690.24</v>
      </c>
      <c r="P24" s="13">
        <v>3.5165787E7</v>
      </c>
      <c r="Q24" s="14"/>
      <c r="R24" s="13">
        <v>12110.0</v>
      </c>
      <c r="S24" s="13">
        <v>10738.0</v>
      </c>
      <c r="T24" s="15">
        <v>13699.0</v>
      </c>
      <c r="U24" s="16">
        <f t="shared" si="4"/>
        <v>10738</v>
      </c>
      <c r="V24" s="17">
        <f t="shared" si="5"/>
        <v>0.3177023764</v>
      </c>
      <c r="W24" s="17"/>
      <c r="X24" s="18"/>
      <c r="Y24" s="17"/>
    </row>
    <row r="25" ht="15.75" customHeight="1">
      <c r="A25" s="7">
        <v>24.0</v>
      </c>
      <c r="B25" s="8" t="s">
        <v>78</v>
      </c>
      <c r="C25" s="9" t="s">
        <v>79</v>
      </c>
      <c r="D25" s="10" t="s">
        <v>67</v>
      </c>
      <c r="E25" s="10" t="s">
        <v>31</v>
      </c>
      <c r="F25" s="10">
        <v>52.0</v>
      </c>
      <c r="G25" s="12">
        <v>1462.03</v>
      </c>
      <c r="H25" s="12" t="s">
        <v>48</v>
      </c>
      <c r="I25" s="13">
        <v>1.59199E11</v>
      </c>
      <c r="J25" s="13">
        <v>4136.0</v>
      </c>
      <c r="K25" s="14">
        <f t="shared" si="1"/>
        <v>1</v>
      </c>
      <c r="L25" s="14">
        <f t="shared" si="2"/>
        <v>0.8743097176</v>
      </c>
      <c r="M25" s="12">
        <f t="shared" si="3"/>
        <v>0.3086162081</v>
      </c>
      <c r="N25" s="12">
        <v>0.0</v>
      </c>
      <c r="O25" s="11">
        <f t="shared" si="9"/>
        <v>6027.706667</v>
      </c>
      <c r="P25" s="13">
        <v>3.7724223E7</v>
      </c>
      <c r="Q25" s="14"/>
      <c r="R25" s="13">
        <v>11088.0</v>
      </c>
      <c r="S25" s="13">
        <v>9165.0</v>
      </c>
      <c r="T25" s="15">
        <v>12686.0</v>
      </c>
      <c r="U25" s="16">
        <f t="shared" si="4"/>
        <v>9165</v>
      </c>
      <c r="V25" s="17">
        <f t="shared" si="5"/>
        <v>0.3529827038</v>
      </c>
      <c r="W25" s="17"/>
      <c r="X25" s="15"/>
      <c r="Y25" s="15"/>
    </row>
    <row r="26" ht="15.75" customHeight="1">
      <c r="A26" s="7">
        <v>25.0</v>
      </c>
      <c r="B26" s="8" t="s">
        <v>80</v>
      </c>
      <c r="C26" s="9" t="s">
        <v>81</v>
      </c>
      <c r="D26" s="10" t="s">
        <v>82</v>
      </c>
      <c r="E26" s="10" t="s">
        <v>34</v>
      </c>
      <c r="F26" s="10">
        <v>28.0</v>
      </c>
      <c r="G26" s="12">
        <v>1560.91</v>
      </c>
      <c r="H26" s="12" t="s">
        <v>48</v>
      </c>
      <c r="I26" s="13">
        <v>2.84984E11</v>
      </c>
      <c r="J26" s="13">
        <v>5956.0</v>
      </c>
      <c r="K26" s="14">
        <f t="shared" si="1"/>
        <v>1</v>
      </c>
      <c r="L26" s="14">
        <f t="shared" si="2"/>
        <v>0.7728139745</v>
      </c>
      <c r="M26" s="12">
        <f t="shared" si="3"/>
        <v>0.2863758892</v>
      </c>
      <c r="N26" s="12">
        <v>0.0</v>
      </c>
      <c r="O26" s="11">
        <f t="shared" si="9"/>
        <v>5327.97</v>
      </c>
      <c r="P26" s="13">
        <v>4.8028334E7</v>
      </c>
      <c r="Q26" s="14"/>
      <c r="R26" s="13">
        <v>8787.0</v>
      </c>
      <c r="S26" s="13">
        <v>8493.0</v>
      </c>
      <c r="T26" s="15">
        <v>10089.0</v>
      </c>
      <c r="U26" s="16">
        <f t="shared" si="4"/>
        <v>8493</v>
      </c>
      <c r="V26" s="17">
        <f t="shared" si="5"/>
        <v>0.3705625139</v>
      </c>
      <c r="W26" s="17"/>
      <c r="X26" s="15"/>
      <c r="Y26" s="15"/>
    </row>
    <row r="27" ht="15.75" customHeight="1">
      <c r="A27" s="7">
        <v>26.0</v>
      </c>
      <c r="B27" s="9" t="s">
        <v>83</v>
      </c>
      <c r="C27" s="9" t="s">
        <v>84</v>
      </c>
      <c r="D27" s="10" t="s">
        <v>82</v>
      </c>
      <c r="E27" s="10" t="s">
        <v>34</v>
      </c>
      <c r="F27" s="10">
        <v>67.0</v>
      </c>
      <c r="G27" s="12">
        <v>1370.49</v>
      </c>
      <c r="H27" s="12" t="s">
        <v>58</v>
      </c>
      <c r="I27" s="13">
        <v>3.138E9</v>
      </c>
      <c r="J27" s="13">
        <v>6069.0</v>
      </c>
      <c r="K27" s="14">
        <f t="shared" si="1"/>
        <v>1</v>
      </c>
      <c r="L27" s="14">
        <f t="shared" si="2"/>
        <v>0.7728139745</v>
      </c>
      <c r="M27" s="12">
        <f t="shared" si="3"/>
        <v>0.3106914748</v>
      </c>
      <c r="N27" s="12">
        <v>0.0</v>
      </c>
      <c r="O27" s="11">
        <f t="shared" si="9"/>
        <v>5327.97</v>
      </c>
      <c r="P27" s="13">
        <v>529630.0</v>
      </c>
      <c r="Q27" s="14"/>
      <c r="R27" s="13">
        <v>7437.0</v>
      </c>
      <c r="S27" s="13">
        <v>8176.0</v>
      </c>
      <c r="T27" s="15">
        <v>8250.0</v>
      </c>
      <c r="U27" s="16">
        <f t="shared" si="4"/>
        <v>7437</v>
      </c>
      <c r="V27" s="17">
        <f t="shared" si="5"/>
        <v>0.4020262121</v>
      </c>
      <c r="W27" s="17"/>
      <c r="X27" s="15"/>
      <c r="Y27" s="15"/>
    </row>
    <row r="28" ht="15.75" customHeight="1">
      <c r="A28" s="7">
        <v>27.0</v>
      </c>
      <c r="B28" s="8" t="s">
        <v>85</v>
      </c>
      <c r="C28" s="9" t="s">
        <v>86</v>
      </c>
      <c r="D28" s="10" t="s">
        <v>82</v>
      </c>
      <c r="E28" s="10" t="s">
        <v>34</v>
      </c>
      <c r="F28" s="10">
        <v>37.0</v>
      </c>
      <c r="G28" s="12">
        <v>1522.48</v>
      </c>
      <c r="H28" s="12" t="s">
        <v>48</v>
      </c>
      <c r="I28" s="13">
        <v>1.11446E11</v>
      </c>
      <c r="J28" s="13">
        <v>3294.0</v>
      </c>
      <c r="K28" s="14">
        <f t="shared" si="1"/>
        <v>1</v>
      </c>
      <c r="L28" s="14">
        <f t="shared" si="2"/>
        <v>0.7728139745</v>
      </c>
      <c r="M28" s="12">
        <f t="shared" si="3"/>
        <v>0.2660105929</v>
      </c>
      <c r="N28" s="12">
        <v>0.0</v>
      </c>
      <c r="O28" s="11">
        <f t="shared" si="9"/>
        <v>5327.97</v>
      </c>
      <c r="P28" s="13">
        <v>3.3494346E7</v>
      </c>
      <c r="Q28" s="14"/>
      <c r="R28" s="13">
        <v>9526.0</v>
      </c>
      <c r="S28" s="13">
        <v>9979.0</v>
      </c>
      <c r="T28" s="15">
        <v>10390.0</v>
      </c>
      <c r="U28" s="16">
        <f t="shared" si="4"/>
        <v>9526</v>
      </c>
      <c r="V28" s="17">
        <f t="shared" si="5"/>
        <v>0.3442103814</v>
      </c>
      <c r="W28" s="17"/>
      <c r="X28" s="15"/>
      <c r="Y28" s="15"/>
    </row>
    <row r="29" ht="15.75" customHeight="1">
      <c r="A29" s="7">
        <v>28.0</v>
      </c>
      <c r="B29" s="8" t="s">
        <v>87</v>
      </c>
      <c r="C29" s="9" t="s">
        <v>88</v>
      </c>
      <c r="D29" s="10" t="s">
        <v>82</v>
      </c>
      <c r="E29" s="10" t="s">
        <v>34</v>
      </c>
      <c r="F29" s="10">
        <v>31.0</v>
      </c>
      <c r="G29" s="12">
        <v>1556.71</v>
      </c>
      <c r="H29" s="12" t="s">
        <v>48</v>
      </c>
      <c r="I29" s="13">
        <v>3.99508E11</v>
      </c>
      <c r="J29" s="13">
        <v>3579.0</v>
      </c>
      <c r="K29" s="14">
        <f t="shared" si="1"/>
        <v>1</v>
      </c>
      <c r="L29" s="14">
        <f t="shared" si="2"/>
        <v>0.7728139745</v>
      </c>
      <c r="M29" s="12">
        <f t="shared" si="3"/>
        <v>0.2582243967</v>
      </c>
      <c r="N29" s="12">
        <v>0.0</v>
      </c>
      <c r="O29" s="11">
        <f t="shared" si="9"/>
        <v>5327.97</v>
      </c>
      <c r="P29" s="13">
        <v>1.20101175E8</v>
      </c>
      <c r="Q29" s="14"/>
      <c r="R29" s="13">
        <v>10997.0</v>
      </c>
      <c r="S29" s="13">
        <v>9964.0</v>
      </c>
      <c r="T29" s="15">
        <v>12513.0</v>
      </c>
      <c r="U29" s="16">
        <f t="shared" si="4"/>
        <v>9964</v>
      </c>
      <c r="V29" s="17">
        <f t="shared" si="5"/>
        <v>0.334135258</v>
      </c>
      <c r="W29" s="17"/>
      <c r="X29" s="15"/>
      <c r="Y29" s="15"/>
    </row>
    <row r="30" ht="15.75" customHeight="1">
      <c r="A30" s="7">
        <v>29.0</v>
      </c>
      <c r="B30" s="8" t="s">
        <v>89</v>
      </c>
      <c r="C30" s="9" t="s">
        <v>90</v>
      </c>
      <c r="D30" s="10" t="s">
        <v>82</v>
      </c>
      <c r="E30" s="10" t="s">
        <v>34</v>
      </c>
      <c r="F30" s="10">
        <v>72.0</v>
      </c>
      <c r="G30" s="12">
        <v>1351.09</v>
      </c>
      <c r="H30" s="12" t="s">
        <v>58</v>
      </c>
      <c r="I30" s="13">
        <v>1.13494E11</v>
      </c>
      <c r="J30" s="13">
        <v>3179.0</v>
      </c>
      <c r="K30" s="14">
        <f t="shared" si="1"/>
        <v>1</v>
      </c>
      <c r="L30" s="14">
        <f t="shared" si="2"/>
        <v>0.7547626906</v>
      </c>
      <c r="M30" s="12">
        <f t="shared" si="3"/>
        <v>0.253310072</v>
      </c>
      <c r="N30" s="12">
        <v>5203.52</v>
      </c>
      <c r="O30" s="11">
        <f t="shared" si="9"/>
        <v>5203.52</v>
      </c>
      <c r="P30" s="13">
        <v>3.5697557E7</v>
      </c>
      <c r="Q30" s="14"/>
      <c r="R30" s="13">
        <v>9898.0</v>
      </c>
      <c r="S30" s="13">
        <v>10213.0</v>
      </c>
      <c r="T30" s="15">
        <v>10825.0</v>
      </c>
      <c r="U30" s="16">
        <f t="shared" si="4"/>
        <v>9898</v>
      </c>
      <c r="V30" s="17">
        <f t="shared" si="5"/>
        <v>0.3356155189</v>
      </c>
      <c r="W30" s="17"/>
      <c r="X30" s="15"/>
      <c r="Y30" s="15"/>
    </row>
    <row r="31" ht="15.75" customHeight="1">
      <c r="A31" s="7">
        <v>30.0</v>
      </c>
      <c r="B31" s="8" t="s">
        <v>91</v>
      </c>
      <c r="C31" s="9" t="s">
        <v>92</v>
      </c>
      <c r="D31" s="10" t="s">
        <v>82</v>
      </c>
      <c r="E31" s="10" t="s">
        <v>34</v>
      </c>
      <c r="F31" s="10">
        <v>8.0</v>
      </c>
      <c r="G31" s="12">
        <v>1736.57</v>
      </c>
      <c r="H31" s="12" t="s">
        <v>26</v>
      </c>
      <c r="I31" s="13">
        <v>1.96121E11</v>
      </c>
      <c r="J31" s="13">
        <v>5154.0</v>
      </c>
      <c r="K31" s="14">
        <f t="shared" si="1"/>
        <v>1</v>
      </c>
      <c r="L31" s="14">
        <f t="shared" si="2"/>
        <v>0.8485162291</v>
      </c>
      <c r="M31" s="12">
        <f t="shared" si="3"/>
        <v>0.3348524977</v>
      </c>
      <c r="N31" s="12">
        <v>5849.88</v>
      </c>
      <c r="O31" s="11">
        <f t="shared" si="9"/>
        <v>5849.88</v>
      </c>
      <c r="P31" s="13">
        <v>3.8762441E7</v>
      </c>
      <c r="Q31" s="14"/>
      <c r="R31" s="13">
        <v>7854.0</v>
      </c>
      <c r="S31" s="13">
        <v>7670.0</v>
      </c>
      <c r="T31" s="15">
        <v>9147.0</v>
      </c>
      <c r="U31" s="16">
        <f t="shared" si="4"/>
        <v>7670</v>
      </c>
      <c r="V31" s="17">
        <f t="shared" si="5"/>
        <v>0.3946329913</v>
      </c>
      <c r="W31" s="17"/>
      <c r="X31" s="15"/>
      <c r="Y31" s="15"/>
    </row>
    <row r="32" ht="15.75" customHeight="1">
      <c r="A32" s="7">
        <v>31.0</v>
      </c>
      <c r="B32" s="8" t="s">
        <v>93</v>
      </c>
      <c r="C32" s="9" t="s">
        <v>94</v>
      </c>
      <c r="D32" s="10" t="s">
        <v>82</v>
      </c>
      <c r="E32" s="10" t="s">
        <v>34</v>
      </c>
      <c r="F32" s="10">
        <v>12.0</v>
      </c>
      <c r="G32" s="12">
        <v>1706.83</v>
      </c>
      <c r="H32" s="12" t="s">
        <v>26</v>
      </c>
      <c r="I32" s="13">
        <v>3.9986E10</v>
      </c>
      <c r="J32" s="13">
        <v>2030.0</v>
      </c>
      <c r="K32" s="14">
        <f t="shared" si="1"/>
        <v>1</v>
      </c>
      <c r="L32" s="14">
        <f t="shared" si="2"/>
        <v>0.7431530099</v>
      </c>
      <c r="M32" s="12">
        <f t="shared" si="3"/>
        <v>0.279654177</v>
      </c>
      <c r="N32" s="12">
        <v>5123.48</v>
      </c>
      <c r="O32" s="11">
        <f t="shared" si="9"/>
        <v>5123.48</v>
      </c>
      <c r="P32" s="13">
        <v>1.9366548E7</v>
      </c>
      <c r="Q32" s="14"/>
      <c r="R32" s="13">
        <v>8287.0</v>
      </c>
      <c r="S32" s="13">
        <v>8798.0</v>
      </c>
      <c r="T32" s="15">
        <v>9191.0</v>
      </c>
      <c r="U32" s="16">
        <f t="shared" si="4"/>
        <v>8287</v>
      </c>
      <c r="V32" s="17">
        <f t="shared" si="5"/>
        <v>0.3763076692</v>
      </c>
      <c r="W32" s="17"/>
      <c r="X32" s="15"/>
      <c r="Y32" s="15"/>
    </row>
    <row r="33" ht="15.75" customHeight="1">
      <c r="A33" s="7">
        <v>32.0</v>
      </c>
      <c r="B33" s="8" t="s">
        <v>95</v>
      </c>
      <c r="C33" s="9" t="s">
        <v>96</v>
      </c>
      <c r="D33" s="10" t="s">
        <v>82</v>
      </c>
      <c r="E33" s="10" t="s">
        <v>34</v>
      </c>
      <c r="F33" s="10">
        <v>60.0</v>
      </c>
      <c r="G33" s="12">
        <v>1432.76</v>
      </c>
      <c r="H33" s="12" t="s">
        <v>48</v>
      </c>
      <c r="I33" s="13">
        <v>4.43643E11</v>
      </c>
      <c r="J33" s="13">
        <v>6835.0</v>
      </c>
      <c r="K33" s="14">
        <f t="shared" si="1"/>
        <v>1</v>
      </c>
      <c r="L33" s="14">
        <f t="shared" si="2"/>
        <v>0.7728139745</v>
      </c>
      <c r="M33" s="12">
        <f t="shared" si="3"/>
        <v>0.1992199357</v>
      </c>
      <c r="N33" s="12">
        <v>0.0</v>
      </c>
      <c r="O33" s="11">
        <f t="shared" si="9"/>
        <v>5327.97</v>
      </c>
      <c r="P33" s="13">
        <v>6.5453084E7</v>
      </c>
      <c r="Q33" s="14"/>
      <c r="R33" s="13">
        <v>14396.0</v>
      </c>
      <c r="S33" s="13">
        <v>15176.0</v>
      </c>
      <c r="T33" s="15">
        <v>14620.0</v>
      </c>
      <c r="U33" s="16">
        <f t="shared" si="4"/>
        <v>14396</v>
      </c>
      <c r="V33" s="17">
        <f t="shared" si="5"/>
        <v>0.2577851103</v>
      </c>
      <c r="W33" s="17"/>
      <c r="X33" s="15"/>
      <c r="Y33" s="15"/>
    </row>
    <row r="34" ht="15.75" customHeight="1">
      <c r="A34" s="7">
        <v>33.0</v>
      </c>
      <c r="B34" s="8" t="s">
        <v>97</v>
      </c>
      <c r="C34" s="9" t="s">
        <v>98</v>
      </c>
      <c r="D34" s="10" t="s">
        <v>82</v>
      </c>
      <c r="E34" s="10" t="s">
        <v>34</v>
      </c>
      <c r="F34" s="10">
        <v>47.0</v>
      </c>
      <c r="G34" s="12">
        <v>1479.04</v>
      </c>
      <c r="H34" s="12" t="s">
        <v>48</v>
      </c>
      <c r="I34" s="13">
        <v>6.0434E10</v>
      </c>
      <c r="J34" s="13">
        <v>4826.0</v>
      </c>
      <c r="K34" s="14">
        <f t="shared" si="1"/>
        <v>1</v>
      </c>
      <c r="L34" s="14">
        <f t="shared" si="2"/>
        <v>0.7448239684</v>
      </c>
      <c r="M34" s="12">
        <f t="shared" si="3"/>
        <v>0.2790648064</v>
      </c>
      <c r="N34" s="12">
        <v>5135.0</v>
      </c>
      <c r="O34" s="11">
        <f t="shared" si="9"/>
        <v>5135</v>
      </c>
      <c r="P34" s="13">
        <v>1.2415138E7</v>
      </c>
      <c r="Q34" s="14"/>
      <c r="R34" s="13">
        <v>8990.0</v>
      </c>
      <c r="S34" s="13">
        <v>8345.0</v>
      </c>
      <c r="T34" s="15">
        <v>10424.0</v>
      </c>
      <c r="U34" s="16">
        <f t="shared" si="4"/>
        <v>8345</v>
      </c>
      <c r="V34" s="17">
        <f t="shared" si="5"/>
        <v>0.3746721619</v>
      </c>
      <c r="W34" s="17"/>
      <c r="X34" s="15"/>
      <c r="Y34" s="15"/>
    </row>
    <row r="35" ht="15.75" customHeight="1">
      <c r="A35" s="7">
        <v>34.0</v>
      </c>
      <c r="B35" s="8" t="s">
        <v>99</v>
      </c>
      <c r="C35" s="9" t="s">
        <v>100</v>
      </c>
      <c r="D35" s="10" t="s">
        <v>101</v>
      </c>
      <c r="E35" s="10" t="s">
        <v>37</v>
      </c>
      <c r="F35" s="10">
        <v>2.0</v>
      </c>
      <c r="G35" s="12">
        <v>1873.33</v>
      </c>
      <c r="H35" s="12" t="s">
        <v>30</v>
      </c>
      <c r="I35" s="13">
        <v>6.67922E11</v>
      </c>
      <c r="J35" s="13">
        <v>13895.0</v>
      </c>
      <c r="K35" s="14">
        <f t="shared" si="1"/>
        <v>1</v>
      </c>
      <c r="L35" s="14">
        <f t="shared" si="2"/>
        <v>1</v>
      </c>
      <c r="M35" s="12">
        <f t="shared" si="3"/>
        <v>0.3851783376</v>
      </c>
      <c r="N35" s="12">
        <v>8842.68</v>
      </c>
      <c r="O35" s="11">
        <f t="shared" si="9"/>
        <v>8842.68</v>
      </c>
      <c r="P35" s="13">
        <v>4.6003734E7</v>
      </c>
      <c r="Q35" s="14"/>
      <c r="R35" s="13">
        <v>8986.0</v>
      </c>
      <c r="S35" s="13">
        <v>11228.0</v>
      </c>
      <c r="T35" s="15">
        <v>7981.0</v>
      </c>
      <c r="U35" s="16">
        <f t="shared" si="4"/>
        <v>7981</v>
      </c>
      <c r="V35" s="17">
        <f t="shared" si="5"/>
        <v>0.3851783376</v>
      </c>
      <c r="W35" s="17"/>
      <c r="X35" s="15"/>
      <c r="Y35" s="15"/>
    </row>
    <row r="36" ht="15.75" customHeight="1">
      <c r="A36" s="7">
        <v>35.0</v>
      </c>
      <c r="B36" s="8" t="s">
        <v>102</v>
      </c>
      <c r="C36" s="9" t="s">
        <v>103</v>
      </c>
      <c r="D36" s="10" t="s">
        <v>101</v>
      </c>
      <c r="E36" s="10" t="s">
        <v>37</v>
      </c>
      <c r="F36" s="10">
        <v>5.0</v>
      </c>
      <c r="G36" s="12">
        <v>1760.46</v>
      </c>
      <c r="H36" s="12" t="s">
        <v>30</v>
      </c>
      <c r="I36" s="13">
        <v>2.29269E12</v>
      </c>
      <c r="J36" s="13">
        <v>10709.0</v>
      </c>
      <c r="K36" s="14">
        <f t="shared" si="1"/>
        <v>1</v>
      </c>
      <c r="L36" s="14">
        <f t="shared" si="2"/>
        <v>1</v>
      </c>
      <c r="M36" s="12">
        <f t="shared" si="3"/>
        <v>0.4194279003</v>
      </c>
      <c r="N36" s="12">
        <v>8709.52</v>
      </c>
      <c r="O36" s="11">
        <f t="shared" si="9"/>
        <v>8709.52</v>
      </c>
      <c r="P36" s="13">
        <v>2.13562666E8</v>
      </c>
      <c r="Q36" s="14"/>
      <c r="R36" s="13">
        <v>7301.0</v>
      </c>
      <c r="S36" s="13">
        <v>9287.0</v>
      </c>
      <c r="T36" s="15">
        <v>6921.0</v>
      </c>
      <c r="U36" s="16">
        <f t="shared" si="4"/>
        <v>6921</v>
      </c>
      <c r="V36" s="17">
        <f t="shared" si="5"/>
        <v>0.4194279003</v>
      </c>
      <c r="W36" s="17"/>
      <c r="X36" s="15"/>
      <c r="Y36" s="15"/>
    </row>
    <row r="37" ht="15.75" customHeight="1">
      <c r="A37" s="7">
        <v>36.0</v>
      </c>
      <c r="B37" s="8" t="s">
        <v>104</v>
      </c>
      <c r="C37" s="9" t="s">
        <v>105</v>
      </c>
      <c r="D37" s="10" t="s">
        <v>101</v>
      </c>
      <c r="E37" s="10" t="s">
        <v>37</v>
      </c>
      <c r="F37" s="10">
        <v>14.0</v>
      </c>
      <c r="G37" s="12">
        <v>1701.3</v>
      </c>
      <c r="H37" s="12" t="s">
        <v>26</v>
      </c>
      <c r="I37" s="13">
        <v>4.62251E11</v>
      </c>
      <c r="J37" s="13">
        <v>8644.0</v>
      </c>
      <c r="K37" s="14">
        <f t="shared" si="1"/>
        <v>1</v>
      </c>
      <c r="L37" s="14">
        <f t="shared" si="2"/>
        <v>1</v>
      </c>
      <c r="M37" s="12">
        <f t="shared" si="3"/>
        <v>0.5751092708</v>
      </c>
      <c r="N37" s="12">
        <v>0.0</v>
      </c>
      <c r="O37" s="11">
        <f t="shared" si="9"/>
        <v>7693.53</v>
      </c>
      <c r="P37" s="13">
        <v>5.3936226E7</v>
      </c>
      <c r="Q37" s="14"/>
      <c r="R37" s="13">
        <v>4211.0</v>
      </c>
      <c r="S37" s="13">
        <v>6384.0</v>
      </c>
      <c r="T37" s="15">
        <v>3694.0</v>
      </c>
      <c r="U37" s="16">
        <f t="shared" si="4"/>
        <v>3694</v>
      </c>
      <c r="V37" s="17">
        <f t="shared" si="5"/>
        <v>0.5751092708</v>
      </c>
      <c r="W37" s="17"/>
      <c r="X37" s="15"/>
      <c r="Y37" s="15"/>
    </row>
    <row r="38" ht="15.75" customHeight="1">
      <c r="A38" s="7">
        <v>37.0</v>
      </c>
      <c r="B38" s="8" t="s">
        <v>106</v>
      </c>
      <c r="C38" s="9" t="s">
        <v>107</v>
      </c>
      <c r="D38" s="10" t="s">
        <v>101</v>
      </c>
      <c r="E38" s="10" t="s">
        <v>37</v>
      </c>
      <c r="F38" s="10">
        <v>23.0</v>
      </c>
      <c r="G38" s="12">
        <v>1591.73</v>
      </c>
      <c r="H38" s="12" t="s">
        <v>26</v>
      </c>
      <c r="I38" s="13">
        <v>1.34711E11</v>
      </c>
      <c r="J38" s="13">
        <v>7384.0</v>
      </c>
      <c r="K38" s="14">
        <f t="shared" si="1"/>
        <v>1</v>
      </c>
      <c r="L38" s="14">
        <f t="shared" si="2"/>
        <v>0.909593245</v>
      </c>
      <c r="M38" s="12">
        <f t="shared" si="3"/>
        <v>0.5133144723</v>
      </c>
      <c r="N38" s="12">
        <v>6270.96</v>
      </c>
      <c r="O38" s="11">
        <f t="shared" si="9"/>
        <v>6270.96</v>
      </c>
      <c r="P38" s="13">
        <v>1.8444506E7</v>
      </c>
      <c r="Q38" s="14"/>
      <c r="R38" s="13">
        <v>4674.0</v>
      </c>
      <c r="S38" s="13">
        <v>6913.0</v>
      </c>
      <c r="T38" s="15">
        <v>3860.0</v>
      </c>
      <c r="U38" s="16">
        <f t="shared" si="4"/>
        <v>3860</v>
      </c>
      <c r="V38" s="17">
        <f t="shared" si="5"/>
        <v>0.5643340858</v>
      </c>
      <c r="W38" s="17"/>
      <c r="X38" s="15"/>
      <c r="Y38" s="15"/>
    </row>
    <row r="39" ht="15.75" customHeight="1">
      <c r="A39" s="7">
        <v>38.0</v>
      </c>
      <c r="B39" s="8" t="s">
        <v>108</v>
      </c>
      <c r="C39" s="9" t="s">
        <v>109</v>
      </c>
      <c r="D39" s="10" t="s">
        <v>101</v>
      </c>
      <c r="E39" s="10" t="s">
        <v>37</v>
      </c>
      <c r="F39" s="10">
        <v>40.0</v>
      </c>
      <c r="G39" s="12">
        <v>1501.5</v>
      </c>
      <c r="H39" s="12" t="s">
        <v>48</v>
      </c>
      <c r="I39" s="13">
        <v>5.1669E10</v>
      </c>
      <c r="J39" s="13">
        <v>7324.0</v>
      </c>
      <c r="K39" s="14">
        <f t="shared" si="1"/>
        <v>1</v>
      </c>
      <c r="L39" s="14">
        <f t="shared" si="2"/>
        <v>1</v>
      </c>
      <c r="M39" s="12">
        <f t="shared" si="3"/>
        <v>0.4145593234</v>
      </c>
      <c r="N39" s="12">
        <v>0.0</v>
      </c>
      <c r="O39" s="11">
        <f t="shared" si="9"/>
        <v>7693.53</v>
      </c>
      <c r="P39" s="13">
        <v>7095279.0</v>
      </c>
      <c r="Q39" s="14"/>
      <c r="R39" s="13">
        <v>7757.0</v>
      </c>
      <c r="S39" s="13">
        <v>9904.0</v>
      </c>
      <c r="T39" s="15">
        <v>7061.0</v>
      </c>
      <c r="U39" s="16">
        <f t="shared" si="4"/>
        <v>7061</v>
      </c>
      <c r="V39" s="17">
        <f t="shared" si="5"/>
        <v>0.4145593234</v>
      </c>
      <c r="W39" s="17"/>
      <c r="X39" s="15"/>
      <c r="Y39" s="15"/>
    </row>
    <row r="40" ht="15.75" customHeight="1">
      <c r="A40" s="7">
        <v>39.0</v>
      </c>
      <c r="B40" s="8" t="s">
        <v>110</v>
      </c>
      <c r="C40" s="9" t="s">
        <v>111</v>
      </c>
      <c r="D40" s="10" t="s">
        <v>101</v>
      </c>
      <c r="E40" s="10" t="s">
        <v>37</v>
      </c>
      <c r="F40" s="10">
        <v>17.0</v>
      </c>
      <c r="G40" s="12">
        <v>1672.62</v>
      </c>
      <c r="H40" s="12" t="s">
        <v>26</v>
      </c>
      <c r="I40" s="13">
        <v>9.064E10</v>
      </c>
      <c r="J40" s="13">
        <v>26041.0</v>
      </c>
      <c r="K40" s="14">
        <f t="shared" si="1"/>
        <v>1</v>
      </c>
      <c r="L40" s="14">
        <f t="shared" si="2"/>
        <v>1</v>
      </c>
      <c r="M40" s="12">
        <f t="shared" si="3"/>
        <v>0.3858620157</v>
      </c>
      <c r="N40" s="12">
        <v>6950.96</v>
      </c>
      <c r="O40" s="11">
        <f t="shared" si="9"/>
        <v>6950.96</v>
      </c>
      <c r="P40" s="13">
        <v>3382537.0</v>
      </c>
      <c r="Q40" s="14"/>
      <c r="R40" s="13">
        <v>8753.0</v>
      </c>
      <c r="S40" s="13">
        <v>10926.0</v>
      </c>
      <c r="T40" s="15">
        <v>7958.0</v>
      </c>
      <c r="U40" s="16">
        <f t="shared" si="4"/>
        <v>7958</v>
      </c>
      <c r="V40" s="17">
        <f t="shared" si="5"/>
        <v>0.3858620157</v>
      </c>
      <c r="W40" s="17"/>
      <c r="X40" s="15"/>
      <c r="Y40" s="15"/>
    </row>
    <row r="41" ht="15.75" customHeight="1">
      <c r="A41" s="7">
        <v>40.0</v>
      </c>
      <c r="B41" s="8" t="s">
        <v>112</v>
      </c>
      <c r="C41" s="9" t="s">
        <v>113</v>
      </c>
      <c r="D41" s="10" t="s">
        <v>114</v>
      </c>
      <c r="E41" s="10" t="s">
        <v>40</v>
      </c>
      <c r="F41" s="10">
        <v>29.0</v>
      </c>
      <c r="G41" s="12">
        <v>1559.15</v>
      </c>
      <c r="H41" s="12" t="s">
        <v>30</v>
      </c>
      <c r="I41" s="13">
        <v>2.420837E12</v>
      </c>
      <c r="J41" s="13">
        <v>58244.0</v>
      </c>
      <c r="K41" s="14">
        <f t="shared" si="1"/>
        <v>1</v>
      </c>
      <c r="L41" s="14">
        <f t="shared" si="2"/>
        <v>1</v>
      </c>
      <c r="M41" s="12">
        <f t="shared" si="3"/>
        <v>1</v>
      </c>
      <c r="N41" s="12">
        <v>5116.32</v>
      </c>
      <c r="O41" s="11">
        <f t="shared" si="9"/>
        <v>5116.32</v>
      </c>
      <c r="P41" s="13">
        <v>4.0467728E7</v>
      </c>
      <c r="Q41" s="14"/>
      <c r="R41" s="13">
        <v>2262.0</v>
      </c>
      <c r="S41" s="12">
        <v>0.0</v>
      </c>
      <c r="T41" s="15">
        <v>3622.0</v>
      </c>
      <c r="U41" s="16">
        <f t="shared" si="4"/>
        <v>0</v>
      </c>
      <c r="V41" s="17">
        <f t="shared" si="5"/>
        <v>1</v>
      </c>
      <c r="W41" s="17"/>
      <c r="X41" s="15"/>
      <c r="Y41" s="15"/>
    </row>
    <row r="42" ht="15.75" customHeight="1">
      <c r="A42" s="7">
        <v>41.0</v>
      </c>
      <c r="B42" s="8" t="s">
        <v>115</v>
      </c>
      <c r="C42" s="9" t="s">
        <v>116</v>
      </c>
      <c r="D42" s="10" t="s">
        <v>114</v>
      </c>
      <c r="E42" s="10" t="s">
        <v>40</v>
      </c>
      <c r="F42" s="10">
        <v>81.0</v>
      </c>
      <c r="G42" s="12">
        <v>1302.7</v>
      </c>
      <c r="H42" s="12" t="s">
        <v>58</v>
      </c>
      <c r="I42" s="13">
        <v>3.281419347E9</v>
      </c>
      <c r="J42" s="13">
        <v>21062.0</v>
      </c>
      <c r="K42" s="14">
        <f t="shared" si="1"/>
        <v>1</v>
      </c>
      <c r="L42" s="14">
        <f t="shared" si="2"/>
        <v>0.989892086</v>
      </c>
      <c r="M42" s="12">
        <f t="shared" si="3"/>
        <v>0.5647490222</v>
      </c>
      <c r="N42" s="12">
        <v>0.0</v>
      </c>
      <c r="O42" s="11">
        <f t="shared" si="9"/>
        <v>6824.56</v>
      </c>
      <c r="P42" s="13">
        <v>185440.0</v>
      </c>
      <c r="Q42" s="14"/>
      <c r="R42" s="13">
        <v>3838.0</v>
      </c>
      <c r="S42" s="13">
        <v>5838.0</v>
      </c>
      <c r="T42" s="15">
        <v>3764.0</v>
      </c>
      <c r="U42" s="16">
        <f t="shared" si="4"/>
        <v>3764</v>
      </c>
      <c r="V42" s="17">
        <f t="shared" si="5"/>
        <v>0.5705157462</v>
      </c>
      <c r="W42" s="17"/>
      <c r="X42" s="15"/>
      <c r="Y42" s="15"/>
    </row>
    <row r="43" ht="15.75" customHeight="1">
      <c r="A43" s="7">
        <v>42.0</v>
      </c>
      <c r="B43" s="8" t="s">
        <v>117</v>
      </c>
      <c r="C43" s="9" t="s">
        <v>118</v>
      </c>
      <c r="D43" s="10" t="s">
        <v>114</v>
      </c>
      <c r="E43" s="10" t="s">
        <v>40</v>
      </c>
      <c r="F43" s="10">
        <v>83.0</v>
      </c>
      <c r="G43" s="12">
        <v>1294.49</v>
      </c>
      <c r="H43" s="12" t="s">
        <v>58</v>
      </c>
      <c r="I43" s="13">
        <v>3.1097E10</v>
      </c>
      <c r="J43" s="13">
        <v>2444.0</v>
      </c>
      <c r="K43" s="14">
        <f t="shared" si="1"/>
        <v>1</v>
      </c>
      <c r="L43" s="14">
        <f t="shared" si="2"/>
        <v>0.989892086</v>
      </c>
      <c r="M43" s="12">
        <f t="shared" si="3"/>
        <v>0.6156045311</v>
      </c>
      <c r="N43" s="12">
        <v>0.0</v>
      </c>
      <c r="O43" s="11">
        <f t="shared" si="9"/>
        <v>6824.56</v>
      </c>
      <c r="P43" s="13">
        <v>1.2037506E7</v>
      </c>
      <c r="Q43" s="14"/>
      <c r="R43" s="13">
        <v>3040.0</v>
      </c>
      <c r="S43" s="13">
        <v>5007.0</v>
      </c>
      <c r="T43" s="15">
        <v>3177.0</v>
      </c>
      <c r="U43" s="16">
        <f t="shared" si="4"/>
        <v>3040</v>
      </c>
      <c r="V43" s="17">
        <f t="shared" si="5"/>
        <v>0.6218905473</v>
      </c>
      <c r="W43" s="17"/>
      <c r="X43" s="15"/>
      <c r="Y43" s="15"/>
    </row>
    <row r="44" ht="15.75" customHeight="1">
      <c r="A44" s="7">
        <v>43.0</v>
      </c>
      <c r="B44" s="8" t="s">
        <v>119</v>
      </c>
      <c r="C44" s="9" t="s">
        <v>120</v>
      </c>
      <c r="D44" s="10" t="s">
        <v>114</v>
      </c>
      <c r="E44" s="10" t="s">
        <v>40</v>
      </c>
      <c r="F44" s="10">
        <v>16.0</v>
      </c>
      <c r="G44" s="12">
        <v>1675.75</v>
      </c>
      <c r="H44" s="12" t="s">
        <v>30</v>
      </c>
      <c r="I44" s="13">
        <v>2.030999E12</v>
      </c>
      <c r="J44" s="13">
        <v>15111.0</v>
      </c>
      <c r="K44" s="14">
        <f t="shared" si="1"/>
        <v>1</v>
      </c>
      <c r="L44" s="14">
        <f t="shared" si="2"/>
        <v>1</v>
      </c>
      <c r="M44" s="12">
        <f t="shared" si="3"/>
        <v>1</v>
      </c>
      <c r="N44" s="12">
        <v>8532.8</v>
      </c>
      <c r="O44" s="11">
        <f t="shared" si="9"/>
        <v>8532.8</v>
      </c>
      <c r="P44" s="13">
        <v>1.32997658E8</v>
      </c>
      <c r="Q44" s="14"/>
      <c r="R44" s="13">
        <v>1629.0</v>
      </c>
      <c r="S44" s="13">
        <v>3622.0</v>
      </c>
      <c r="T44" s="18">
        <v>0.0</v>
      </c>
      <c r="U44" s="16">
        <f t="shared" si="4"/>
        <v>0</v>
      </c>
      <c r="V44" s="17">
        <f t="shared" si="5"/>
        <v>1</v>
      </c>
      <c r="W44" s="17"/>
      <c r="X44" s="15"/>
      <c r="Y44" s="15"/>
    </row>
    <row r="45" ht="15.75" customHeight="1">
      <c r="A45" s="7">
        <v>44.0</v>
      </c>
      <c r="B45" s="8" t="s">
        <v>121</v>
      </c>
      <c r="C45" s="9" t="s">
        <v>122</v>
      </c>
      <c r="D45" s="10" t="s">
        <v>114</v>
      </c>
      <c r="E45" s="10" t="s">
        <v>40</v>
      </c>
      <c r="F45" s="10">
        <v>33.0</v>
      </c>
      <c r="G45" s="12">
        <v>1485.65</v>
      </c>
      <c r="H45" s="12" t="s">
        <v>48</v>
      </c>
      <c r="I45" s="13">
        <v>9.5905E10</v>
      </c>
      <c r="J45" s="13">
        <v>20754.0</v>
      </c>
      <c r="K45" s="14">
        <f t="shared" si="1"/>
        <v>1</v>
      </c>
      <c r="L45" s="14">
        <f t="shared" si="2"/>
        <v>0.989892086</v>
      </c>
      <c r="M45" s="12">
        <f t="shared" si="3"/>
        <v>0.6297824698</v>
      </c>
      <c r="N45" s="12">
        <v>0.0</v>
      </c>
      <c r="O45" s="11">
        <f t="shared" si="9"/>
        <v>6824.56</v>
      </c>
      <c r="P45" s="13">
        <v>4625718.0</v>
      </c>
      <c r="Q45" s="14"/>
      <c r="R45" s="13">
        <v>3503.0</v>
      </c>
      <c r="S45" s="13">
        <v>5733.0</v>
      </c>
      <c r="T45" s="15">
        <v>2859.0</v>
      </c>
      <c r="U45" s="16">
        <f t="shared" si="4"/>
        <v>2859</v>
      </c>
      <c r="V45" s="17">
        <f t="shared" si="5"/>
        <v>0.6362132587</v>
      </c>
      <c r="W45" s="17"/>
      <c r="X45" s="15"/>
      <c r="Y45" s="15"/>
    </row>
    <row r="46" ht="15.75" customHeight="1">
      <c r="A46" s="7">
        <v>45.0</v>
      </c>
      <c r="B46" s="8" t="s">
        <v>123</v>
      </c>
      <c r="C46" s="9" t="s">
        <v>124</v>
      </c>
      <c r="D46" s="10" t="s">
        <v>114</v>
      </c>
      <c r="E46" s="10" t="s">
        <v>40</v>
      </c>
      <c r="F46" s="10">
        <v>15.0</v>
      </c>
      <c r="G46" s="12">
        <v>1681.88</v>
      </c>
      <c r="H46" s="12" t="s">
        <v>30</v>
      </c>
      <c r="I46" s="13">
        <v>3.1821293E13</v>
      </c>
      <c r="J46" s="13">
        <v>92883.0</v>
      </c>
      <c r="K46" s="14">
        <f t="shared" si="1"/>
        <v>1</v>
      </c>
      <c r="L46" s="14">
        <f t="shared" si="2"/>
        <v>1</v>
      </c>
      <c r="M46" s="12">
        <f t="shared" si="3"/>
        <v>1</v>
      </c>
      <c r="N46" s="12">
        <v>6160.32</v>
      </c>
      <c r="O46" s="11">
        <f t="shared" si="9"/>
        <v>6160.32</v>
      </c>
      <c r="P46" s="13">
        <v>3.49035494E8</v>
      </c>
      <c r="Q46" s="14"/>
      <c r="R46" s="12">
        <v>0.0</v>
      </c>
      <c r="S46" s="13">
        <v>2262.0</v>
      </c>
      <c r="T46" s="15">
        <v>1629.0</v>
      </c>
      <c r="U46" s="17">
        <f t="shared" si="4"/>
        <v>0</v>
      </c>
      <c r="V46" s="17">
        <f t="shared" si="5"/>
        <v>1</v>
      </c>
      <c r="W46" s="17"/>
      <c r="X46" s="15"/>
      <c r="Y46" s="15"/>
    </row>
    <row r="47" ht="15.75" customHeight="1">
      <c r="A47" s="7">
        <v>46.0</v>
      </c>
      <c r="B47" s="8" t="s">
        <v>125</v>
      </c>
      <c r="C47" s="9" t="s">
        <v>126</v>
      </c>
      <c r="D47" s="10" t="s">
        <v>64</v>
      </c>
      <c r="E47" s="10" t="s">
        <v>43</v>
      </c>
      <c r="F47" s="10">
        <v>85.0</v>
      </c>
      <c r="G47" s="12">
        <v>1279.25</v>
      </c>
      <c r="H47" s="12" t="s">
        <v>58</v>
      </c>
      <c r="I47" s="13">
        <v>2.80553E11</v>
      </c>
      <c r="J47" s="13">
        <v>52181.0</v>
      </c>
      <c r="K47" s="14">
        <f t="shared" si="1"/>
        <v>1</v>
      </c>
      <c r="L47" s="14">
        <f t="shared" si="2"/>
        <v>0.9037346786</v>
      </c>
      <c r="M47" s="12">
        <f t="shared" si="3"/>
        <v>0.280610656</v>
      </c>
      <c r="N47" s="12">
        <v>0.0</v>
      </c>
      <c r="O47" s="11">
        <f t="shared" si="9"/>
        <v>6230.5696</v>
      </c>
      <c r="P47" s="13">
        <v>5287479.0</v>
      </c>
      <c r="Q47" s="14"/>
      <c r="R47" s="13">
        <v>12535.0</v>
      </c>
      <c r="S47" s="13">
        <v>13041.0</v>
      </c>
      <c r="T47" s="15">
        <v>11103.0</v>
      </c>
      <c r="U47" s="16">
        <f t="shared" si="4"/>
        <v>11103</v>
      </c>
      <c r="V47" s="17">
        <f t="shared" si="5"/>
        <v>0.3105011489</v>
      </c>
      <c r="W47" s="17"/>
      <c r="X47" s="15"/>
      <c r="Y47" s="15"/>
    </row>
    <row r="48" ht="15.75" customHeight="1">
      <c r="A48" s="7">
        <v>47.0</v>
      </c>
      <c r="B48" s="8" t="s">
        <v>127</v>
      </c>
      <c r="C48" s="8"/>
      <c r="D48" s="10" t="s">
        <v>128</v>
      </c>
      <c r="E48" s="10" t="s">
        <v>129</v>
      </c>
      <c r="F48" s="10"/>
      <c r="G48" s="14"/>
      <c r="H48" s="12" t="s">
        <v>58</v>
      </c>
      <c r="I48" s="12" t="s">
        <v>59</v>
      </c>
      <c r="J48" s="12" t="s">
        <v>59</v>
      </c>
      <c r="K48" s="14"/>
      <c r="L48" s="14"/>
      <c r="M48" s="12"/>
      <c r="N48" s="12">
        <v>0.0</v>
      </c>
      <c r="O48" s="11"/>
      <c r="P48" s="12"/>
      <c r="Q48" s="14"/>
      <c r="R48" s="12"/>
      <c r="S48" s="12"/>
      <c r="T48" s="18"/>
      <c r="U48" s="17">
        <f t="shared" si="4"/>
        <v>0</v>
      </c>
      <c r="V48" s="17">
        <f t="shared" si="5"/>
        <v>1</v>
      </c>
      <c r="W48" s="17"/>
      <c r="X48" s="15"/>
      <c r="Y48" s="15"/>
    </row>
    <row r="49" ht="15.75" customHeight="1">
      <c r="A49" s="7">
        <v>48.0</v>
      </c>
      <c r="B49" s="8" t="s">
        <v>130</v>
      </c>
      <c r="C49" s="8"/>
      <c r="D49" s="10" t="s">
        <v>128</v>
      </c>
      <c r="E49" s="10" t="s">
        <v>129</v>
      </c>
      <c r="F49" s="10"/>
      <c r="G49" s="14"/>
      <c r="H49" s="12" t="s">
        <v>58</v>
      </c>
      <c r="I49" s="12" t="s">
        <v>59</v>
      </c>
      <c r="J49" s="12" t="s">
        <v>59</v>
      </c>
      <c r="K49" s="14"/>
      <c r="L49" s="14"/>
      <c r="M49" s="12"/>
      <c r="N49" s="12">
        <v>0.0</v>
      </c>
      <c r="O49" s="11"/>
      <c r="P49" s="12"/>
      <c r="Q49" s="14"/>
      <c r="R49" s="12"/>
      <c r="S49" s="12"/>
      <c r="T49" s="18"/>
      <c r="U49" s="17">
        <f t="shared" si="4"/>
        <v>0</v>
      </c>
      <c r="V49" s="17">
        <f t="shared" si="5"/>
        <v>1</v>
      </c>
      <c r="W49" s="17"/>
      <c r="X49" s="15"/>
      <c r="Y49" s="15"/>
    </row>
    <row r="50" ht="15.75" customHeight="1">
      <c r="A50" s="22"/>
      <c r="D50" s="22"/>
      <c r="H50" s="23"/>
      <c r="I50" s="23"/>
      <c r="X50" s="24"/>
      <c r="Y50" s="24"/>
    </row>
    <row r="51" ht="15.75" customHeight="1">
      <c r="A51" s="22"/>
      <c r="D51" s="22"/>
      <c r="H51" s="23"/>
      <c r="I51" s="23"/>
      <c r="X51" s="24"/>
      <c r="Y51" s="24"/>
    </row>
    <row r="52" ht="15.75" customHeight="1">
      <c r="A52" s="22"/>
      <c r="D52" s="25"/>
      <c r="H52" s="23"/>
      <c r="I52" s="23"/>
      <c r="J52" s="26"/>
      <c r="K52" s="27"/>
      <c r="L52" s="27"/>
      <c r="M52" s="27"/>
      <c r="N52" s="27"/>
      <c r="O52" s="27"/>
      <c r="P52" s="27"/>
      <c r="Q52" s="27"/>
      <c r="R52" s="27"/>
      <c r="S52" s="27"/>
      <c r="X52" s="24"/>
      <c r="Y52" s="24"/>
    </row>
    <row r="53" ht="15.75" customHeight="1">
      <c r="A53" s="22"/>
      <c r="D53" s="22"/>
      <c r="K53" s="27"/>
      <c r="L53" s="27"/>
      <c r="M53" s="27"/>
      <c r="N53" s="27"/>
      <c r="O53" s="27"/>
      <c r="P53" s="27"/>
      <c r="Q53" s="27"/>
      <c r="R53" s="27"/>
      <c r="S53" s="27"/>
      <c r="X53" s="24"/>
      <c r="Y53" s="24"/>
    </row>
    <row r="54" ht="15.75" customHeight="1">
      <c r="A54" s="22"/>
      <c r="B54" s="28"/>
      <c r="C54" s="28"/>
      <c r="D54" s="29"/>
      <c r="F54" s="28"/>
    </row>
    <row r="55" ht="15.75" customHeight="1">
      <c r="A55" s="22"/>
      <c r="D55" s="22"/>
      <c r="M55" s="26"/>
      <c r="N55" s="26"/>
      <c r="O55" s="26"/>
      <c r="P55" s="30"/>
    </row>
    <row r="56" ht="15.75" customHeight="1">
      <c r="A56" s="22"/>
      <c r="D56" s="22"/>
      <c r="J56" s="31"/>
    </row>
    <row r="57" ht="15.75" customHeight="1">
      <c r="A57" s="22"/>
      <c r="D57" s="25"/>
    </row>
    <row r="58" ht="15.75" customHeight="1">
      <c r="A58" s="22"/>
      <c r="D58" s="22"/>
      <c r="O58" s="29"/>
      <c r="P58" s="29"/>
    </row>
    <row r="59" ht="15.75" customHeight="1">
      <c r="A59" s="22"/>
      <c r="G59" s="25" t="s">
        <v>131</v>
      </c>
      <c r="H59" s="26" t="s">
        <v>132</v>
      </c>
    </row>
    <row r="60" ht="15.75" customHeight="1">
      <c r="A60" s="22"/>
      <c r="D60" s="28"/>
      <c r="G60" s="22">
        <f>AVERAGE(Stadiums!K:K)</f>
        <v>6894.24645</v>
      </c>
      <c r="O60" s="26"/>
      <c r="P60" s="30"/>
    </row>
    <row r="61" ht="15.75" customHeight="1">
      <c r="A61" s="22"/>
    </row>
    <row r="62" ht="15.75" customHeight="1">
      <c r="A62" s="22"/>
    </row>
    <row r="63" ht="15.75" customHeight="1">
      <c r="A63" s="22"/>
      <c r="D63" s="25"/>
    </row>
    <row r="64" ht="15.75" customHeight="1">
      <c r="A64" s="22"/>
      <c r="D64" s="25"/>
      <c r="G64" s="26" t="s">
        <v>133</v>
      </c>
    </row>
    <row r="65" ht="15.75" customHeight="1">
      <c r="A65" s="22"/>
      <c r="D65" s="25"/>
      <c r="G65" s="32">
        <f>(1/12)*SUMPRODUCT(1/Stadiums!K2:K17)</f>
        <v>0.0001993070995</v>
      </c>
    </row>
    <row r="66" ht="15.75" customHeight="1">
      <c r="A66" s="22"/>
      <c r="D66" s="25"/>
    </row>
    <row r="67" ht="15.75" customHeight="1">
      <c r="A67" s="22"/>
      <c r="D67" s="25"/>
    </row>
    <row r="68" ht="15.75" customHeight="1">
      <c r="A68" s="22"/>
      <c r="D68" s="25"/>
    </row>
    <row r="69" ht="15.75" customHeight="1">
      <c r="A69" s="22"/>
      <c r="D69" s="25"/>
    </row>
    <row r="70" ht="15.75" customHeight="1">
      <c r="A70" s="22"/>
      <c r="D70" s="25"/>
    </row>
    <row r="71" ht="15.75" customHeight="1">
      <c r="A71" s="22"/>
      <c r="D71" s="25"/>
    </row>
    <row r="72" ht="15.75" customHeight="1">
      <c r="A72" s="22"/>
      <c r="D72" s="25"/>
    </row>
    <row r="73" ht="15.75" customHeight="1">
      <c r="A73" s="22"/>
      <c r="D73" s="25"/>
    </row>
    <row r="74" ht="15.75" customHeight="1">
      <c r="A74" s="22"/>
      <c r="D74" s="25"/>
    </row>
    <row r="75" ht="15.75" customHeight="1">
      <c r="A75" s="22"/>
      <c r="D75" s="25"/>
    </row>
    <row r="76" ht="15.75" customHeight="1">
      <c r="A76" s="22"/>
      <c r="D76" s="25"/>
    </row>
    <row r="77" ht="15.75" customHeight="1">
      <c r="A77" s="22"/>
      <c r="D77" s="25"/>
    </row>
    <row r="78" ht="15.75" customHeight="1">
      <c r="A78" s="22"/>
      <c r="D78" s="25"/>
    </row>
    <row r="79" ht="15.75" customHeight="1">
      <c r="A79" s="22"/>
      <c r="D79" s="25"/>
    </row>
    <row r="80" ht="15.75" customHeight="1">
      <c r="A80" s="22"/>
      <c r="D80" s="25"/>
    </row>
    <row r="81" ht="15.75" customHeight="1">
      <c r="A81" s="22"/>
      <c r="D81" s="25"/>
    </row>
    <row r="82" ht="15.75" customHeight="1">
      <c r="A82" s="22"/>
      <c r="D82" s="25"/>
    </row>
    <row r="83" ht="15.75" customHeight="1">
      <c r="A83" s="22"/>
      <c r="D83" s="25"/>
    </row>
    <row r="84" ht="15.75" customHeight="1">
      <c r="A84" s="22"/>
      <c r="D84" s="25"/>
    </row>
    <row r="85" ht="15.75" customHeight="1">
      <c r="A85" s="22"/>
      <c r="D85" s="25"/>
    </row>
    <row r="86" ht="15.75" customHeight="1">
      <c r="A86" s="22"/>
      <c r="D86" s="25"/>
    </row>
    <row r="87" ht="15.75" customHeight="1">
      <c r="A87" s="22"/>
      <c r="D87" s="25"/>
    </row>
    <row r="88" ht="15.75" customHeight="1">
      <c r="A88" s="22"/>
      <c r="D88" s="25"/>
    </row>
    <row r="89" ht="15.75" customHeight="1">
      <c r="A89" s="22"/>
      <c r="D89" s="25"/>
    </row>
    <row r="90" ht="15.75" customHeight="1">
      <c r="A90" s="22"/>
      <c r="D90" s="25"/>
    </row>
    <row r="91" ht="15.75" customHeight="1">
      <c r="A91" s="22"/>
      <c r="D91" s="25"/>
    </row>
    <row r="92" ht="15.75" customHeight="1">
      <c r="A92" s="22"/>
      <c r="D92" s="25"/>
    </row>
    <row r="93" ht="15.75" customHeight="1">
      <c r="A93" s="22"/>
      <c r="D93" s="25"/>
    </row>
    <row r="94" ht="15.75" customHeight="1">
      <c r="A94" s="22"/>
      <c r="D94" s="25"/>
    </row>
    <row r="95" ht="15.75" customHeight="1">
      <c r="A95" s="22"/>
      <c r="D95" s="25"/>
    </row>
    <row r="96" ht="15.75" customHeight="1">
      <c r="A96" s="22"/>
      <c r="D96" s="25"/>
    </row>
    <row r="97" ht="15.75" customHeight="1">
      <c r="A97" s="22"/>
      <c r="D97" s="25"/>
    </row>
    <row r="98" ht="15.75" customHeight="1">
      <c r="A98" s="22"/>
      <c r="D98" s="25"/>
    </row>
    <row r="99" ht="15.75" customHeight="1">
      <c r="A99" s="22"/>
      <c r="D99" s="25"/>
    </row>
    <row r="100" ht="15.75" customHeight="1">
      <c r="A100" s="22"/>
      <c r="D100" s="25"/>
    </row>
    <row r="101" ht="15.75" customHeight="1">
      <c r="A101" s="22"/>
      <c r="D101" s="25"/>
    </row>
    <row r="102" ht="15.75" customHeight="1">
      <c r="A102" s="22"/>
      <c r="D102" s="25"/>
    </row>
    <row r="103" ht="15.75" customHeight="1">
      <c r="A103" s="22"/>
      <c r="D103" s="25"/>
    </row>
    <row r="104" ht="15.75" customHeight="1">
      <c r="A104" s="22"/>
      <c r="D104" s="25"/>
    </row>
    <row r="105" ht="15.75" customHeight="1">
      <c r="A105" s="22"/>
      <c r="D105" s="25"/>
    </row>
    <row r="106" ht="15.75" customHeight="1">
      <c r="A106" s="22"/>
      <c r="D106" s="25"/>
    </row>
    <row r="107" ht="15.75" customHeight="1">
      <c r="A107" s="22"/>
      <c r="D107" s="25"/>
    </row>
    <row r="108" ht="15.75" customHeight="1">
      <c r="A108" s="22"/>
      <c r="D108" s="25"/>
    </row>
    <row r="109" ht="15.75" customHeight="1">
      <c r="A109" s="22"/>
      <c r="D109" s="25"/>
    </row>
    <row r="110" ht="15.75" customHeight="1">
      <c r="A110" s="22"/>
      <c r="D110" s="25"/>
    </row>
    <row r="111" ht="15.75" customHeight="1">
      <c r="A111" s="22"/>
      <c r="D111" s="25"/>
    </row>
    <row r="112" ht="15.75" customHeight="1">
      <c r="A112" s="22"/>
      <c r="D112" s="22"/>
    </row>
    <row r="113" ht="15.75" customHeight="1">
      <c r="A113" s="22"/>
      <c r="D113" s="22"/>
    </row>
    <row r="114" ht="15.75" customHeight="1">
      <c r="A114" s="22"/>
      <c r="D114" s="22"/>
    </row>
    <row r="115" ht="15.75" customHeight="1">
      <c r="A115" s="22"/>
      <c r="D115" s="22"/>
    </row>
    <row r="116" ht="15.75" customHeight="1">
      <c r="A116" s="22"/>
      <c r="D116" s="22"/>
    </row>
    <row r="117" ht="15.75" customHeight="1">
      <c r="A117" s="22"/>
      <c r="D117" s="22"/>
    </row>
    <row r="118" ht="15.75" customHeight="1">
      <c r="A118" s="22"/>
      <c r="D118" s="22"/>
    </row>
    <row r="119" ht="15.75" customHeight="1">
      <c r="A119" s="22"/>
      <c r="D119" s="22"/>
    </row>
    <row r="120" ht="15.75" customHeight="1">
      <c r="A120" s="22"/>
      <c r="D120" s="22"/>
    </row>
    <row r="121" ht="15.75" customHeight="1">
      <c r="A121" s="22"/>
      <c r="D121" s="22"/>
    </row>
    <row r="122" ht="15.75" customHeight="1">
      <c r="A122" s="22"/>
      <c r="D122" s="22"/>
    </row>
    <row r="123" ht="15.75" customHeight="1">
      <c r="A123" s="22"/>
      <c r="D123" s="22"/>
    </row>
    <row r="124" ht="15.75" customHeight="1">
      <c r="A124" s="22"/>
      <c r="D124" s="22"/>
    </row>
    <row r="125" ht="15.75" customHeight="1">
      <c r="A125" s="22"/>
      <c r="D125" s="22"/>
    </row>
    <row r="126" ht="15.75" customHeight="1">
      <c r="A126" s="22"/>
      <c r="D126" s="22"/>
    </row>
    <row r="127" ht="15.75" customHeight="1">
      <c r="A127" s="22"/>
      <c r="D127" s="22"/>
    </row>
    <row r="128" ht="15.75" customHeight="1">
      <c r="A128" s="22"/>
      <c r="D128" s="22"/>
    </row>
    <row r="129" ht="15.75" customHeight="1">
      <c r="A129" s="22"/>
      <c r="D129" s="22"/>
    </row>
    <row r="130" ht="15.75" customHeight="1">
      <c r="A130" s="22"/>
      <c r="D130" s="22"/>
    </row>
    <row r="131" ht="15.75" customHeight="1">
      <c r="A131" s="22"/>
      <c r="D131" s="22"/>
    </row>
    <row r="132" ht="15.75" customHeight="1">
      <c r="A132" s="22"/>
      <c r="D132" s="22"/>
    </row>
    <row r="133" ht="15.75" customHeight="1">
      <c r="A133" s="22"/>
      <c r="D133" s="22"/>
    </row>
    <row r="134" ht="15.75" customHeight="1">
      <c r="A134" s="22"/>
      <c r="D134" s="22"/>
    </row>
    <row r="135" ht="15.75" customHeight="1">
      <c r="A135" s="22"/>
      <c r="D135" s="22"/>
    </row>
    <row r="136" ht="15.75" customHeight="1">
      <c r="A136" s="22"/>
      <c r="D136" s="22"/>
    </row>
    <row r="137" ht="15.75" customHeight="1">
      <c r="A137" s="22"/>
      <c r="D137" s="22"/>
    </row>
    <row r="138" ht="15.75" customHeight="1">
      <c r="A138" s="22"/>
      <c r="D138" s="22"/>
    </row>
    <row r="139" ht="15.75" customHeight="1">
      <c r="A139" s="22"/>
      <c r="D139" s="22"/>
    </row>
    <row r="140" ht="15.75" customHeight="1">
      <c r="A140" s="22"/>
      <c r="D140" s="22"/>
    </row>
    <row r="141" ht="15.75" customHeight="1">
      <c r="A141" s="22"/>
      <c r="D141" s="22"/>
    </row>
    <row r="142" ht="15.75" customHeight="1">
      <c r="A142" s="22"/>
      <c r="D142" s="22"/>
    </row>
    <row r="143" ht="15.75" customHeight="1">
      <c r="A143" s="22"/>
      <c r="D143" s="22"/>
    </row>
    <row r="144" ht="15.75" customHeight="1">
      <c r="A144" s="22"/>
      <c r="D144" s="22"/>
    </row>
    <row r="145" ht="15.75" customHeight="1">
      <c r="A145" s="22"/>
      <c r="D145" s="22"/>
    </row>
    <row r="146" ht="15.75" customHeight="1">
      <c r="A146" s="22"/>
      <c r="D146" s="22"/>
    </row>
    <row r="147" ht="15.75" customHeight="1">
      <c r="A147" s="22"/>
      <c r="D147" s="22"/>
    </row>
    <row r="148" ht="15.75" customHeight="1">
      <c r="A148" s="22"/>
      <c r="D148" s="22"/>
    </row>
    <row r="149" ht="15.75" customHeight="1">
      <c r="A149" s="22"/>
      <c r="D149" s="22"/>
    </row>
    <row r="150" ht="15.75" customHeight="1">
      <c r="A150" s="22"/>
      <c r="D150" s="22"/>
    </row>
    <row r="151" ht="15.75" customHeight="1">
      <c r="A151" s="22"/>
      <c r="D151" s="22"/>
    </row>
    <row r="152" ht="15.75" customHeight="1">
      <c r="A152" s="22"/>
      <c r="D152" s="22"/>
    </row>
    <row r="153" ht="15.75" customHeight="1">
      <c r="A153" s="22"/>
      <c r="D153" s="22"/>
    </row>
    <row r="154" ht="15.75" customHeight="1">
      <c r="A154" s="22"/>
      <c r="D154" s="22"/>
    </row>
    <row r="155" ht="15.75" customHeight="1">
      <c r="A155" s="22"/>
      <c r="D155" s="22"/>
    </row>
    <row r="156" ht="15.75" customHeight="1">
      <c r="A156" s="22"/>
      <c r="D156" s="22"/>
    </row>
    <row r="157" ht="15.75" customHeight="1">
      <c r="A157" s="22"/>
      <c r="D157" s="22"/>
    </row>
    <row r="158" ht="15.75" customHeight="1">
      <c r="A158" s="22"/>
      <c r="D158" s="22"/>
    </row>
    <row r="159" ht="15.75" customHeight="1">
      <c r="A159" s="22"/>
      <c r="D159" s="22"/>
    </row>
    <row r="160" ht="15.75" customHeight="1">
      <c r="A160" s="22"/>
      <c r="D160" s="22"/>
    </row>
    <row r="161" ht="15.75" customHeight="1">
      <c r="A161" s="22"/>
      <c r="D161" s="22"/>
    </row>
    <row r="162" ht="15.75" customHeight="1">
      <c r="A162" s="22"/>
      <c r="D162" s="22"/>
    </row>
    <row r="163" ht="15.75" customHeight="1">
      <c r="A163" s="22"/>
      <c r="D163" s="22"/>
    </row>
    <row r="164" ht="15.75" customHeight="1">
      <c r="A164" s="22"/>
      <c r="D164" s="22"/>
    </row>
    <row r="165" ht="15.75" customHeight="1">
      <c r="A165" s="22"/>
      <c r="D165" s="22"/>
    </row>
    <row r="166" ht="15.75" customHeight="1">
      <c r="A166" s="22"/>
      <c r="D166" s="22"/>
    </row>
    <row r="167" ht="15.75" customHeight="1">
      <c r="A167" s="22"/>
      <c r="D167" s="22"/>
    </row>
    <row r="168" ht="15.75" customHeight="1">
      <c r="A168" s="22"/>
      <c r="D168" s="22"/>
    </row>
    <row r="169" ht="15.75" customHeight="1">
      <c r="A169" s="22"/>
      <c r="D169" s="22"/>
    </row>
    <row r="170" ht="15.75" customHeight="1">
      <c r="A170" s="22"/>
      <c r="D170" s="22"/>
    </row>
    <row r="171" ht="15.75" customHeight="1">
      <c r="A171" s="22"/>
      <c r="D171" s="22"/>
    </row>
    <row r="172" ht="15.75" customHeight="1">
      <c r="A172" s="22"/>
      <c r="D172" s="22"/>
    </row>
    <row r="173" ht="15.75" customHeight="1">
      <c r="A173" s="22"/>
      <c r="D173" s="22"/>
    </row>
    <row r="174" ht="15.75" customHeight="1">
      <c r="A174" s="22"/>
      <c r="D174" s="22"/>
    </row>
    <row r="175" ht="15.75" customHeight="1">
      <c r="A175" s="22"/>
      <c r="D175" s="22"/>
    </row>
    <row r="176" ht="15.75" customHeight="1">
      <c r="A176" s="22"/>
      <c r="D176" s="22"/>
    </row>
    <row r="177" ht="15.75" customHeight="1">
      <c r="A177" s="22"/>
      <c r="D177" s="22"/>
    </row>
    <row r="178" ht="15.75" customHeight="1">
      <c r="A178" s="22"/>
      <c r="D178" s="22"/>
    </row>
    <row r="179" ht="15.75" customHeight="1">
      <c r="A179" s="22"/>
      <c r="D179" s="22"/>
    </row>
    <row r="180" ht="15.75" customHeight="1">
      <c r="A180" s="22"/>
      <c r="D180" s="22"/>
    </row>
    <row r="181" ht="15.75" customHeight="1">
      <c r="A181" s="22"/>
      <c r="D181" s="22"/>
    </row>
    <row r="182" ht="15.75" customHeight="1">
      <c r="A182" s="22"/>
      <c r="D182" s="22"/>
    </row>
    <row r="183" ht="15.75" customHeight="1">
      <c r="A183" s="22"/>
      <c r="D183" s="22"/>
    </row>
    <row r="184" ht="15.75" customHeight="1">
      <c r="A184" s="22"/>
      <c r="D184" s="22"/>
    </row>
    <row r="185" ht="15.75" customHeight="1">
      <c r="A185" s="22"/>
      <c r="D185" s="22"/>
    </row>
    <row r="186" ht="15.75" customHeight="1">
      <c r="A186" s="22"/>
      <c r="D186" s="22"/>
    </row>
    <row r="187" ht="15.75" customHeight="1">
      <c r="A187" s="22"/>
      <c r="D187" s="22"/>
    </row>
    <row r="188" ht="15.75" customHeight="1">
      <c r="A188" s="22"/>
      <c r="D188" s="22"/>
    </row>
    <row r="189" ht="15.75" customHeight="1">
      <c r="A189" s="22"/>
      <c r="D189" s="22"/>
    </row>
    <row r="190" ht="15.75" customHeight="1">
      <c r="A190" s="22"/>
      <c r="D190" s="22"/>
    </row>
    <row r="191" ht="15.75" customHeight="1">
      <c r="A191" s="22"/>
      <c r="D191" s="22"/>
    </row>
    <row r="192" ht="15.75" customHeight="1">
      <c r="A192" s="22"/>
      <c r="D192" s="22"/>
    </row>
    <row r="193" ht="15.75" customHeight="1">
      <c r="A193" s="22"/>
      <c r="D193" s="22"/>
    </row>
    <row r="194" ht="15.75" customHeight="1">
      <c r="A194" s="22"/>
      <c r="D194" s="22"/>
    </row>
    <row r="195" ht="15.75" customHeight="1">
      <c r="A195" s="22"/>
      <c r="D195" s="22"/>
    </row>
    <row r="196" ht="15.75" customHeight="1">
      <c r="A196" s="22"/>
      <c r="D196" s="22"/>
    </row>
    <row r="197" ht="15.75" customHeight="1">
      <c r="A197" s="22"/>
      <c r="D197" s="22"/>
    </row>
    <row r="198" ht="15.75" customHeight="1">
      <c r="A198" s="22"/>
      <c r="D198" s="22"/>
    </row>
    <row r="199" ht="15.75" customHeight="1">
      <c r="A199" s="22"/>
      <c r="D199" s="22"/>
    </row>
    <row r="200" ht="15.75" customHeight="1">
      <c r="A200" s="22"/>
      <c r="D200" s="22"/>
    </row>
    <row r="201" ht="15.75" customHeight="1">
      <c r="A201" s="22"/>
      <c r="D201" s="22"/>
    </row>
    <row r="202" ht="15.75" customHeight="1">
      <c r="A202" s="22"/>
      <c r="D202" s="22"/>
    </row>
    <row r="203" ht="15.75" customHeight="1">
      <c r="A203" s="22"/>
      <c r="D203" s="22"/>
    </row>
    <row r="204" ht="15.75" customHeight="1">
      <c r="A204" s="22"/>
      <c r="D204" s="22"/>
    </row>
    <row r="205" ht="15.75" customHeight="1">
      <c r="A205" s="22"/>
      <c r="D205" s="22"/>
    </row>
    <row r="206" ht="15.75" customHeight="1">
      <c r="A206" s="22"/>
      <c r="D206" s="22"/>
    </row>
    <row r="207" ht="15.75" customHeight="1">
      <c r="A207" s="22"/>
      <c r="D207" s="22"/>
    </row>
    <row r="208" ht="15.75" customHeight="1">
      <c r="A208" s="22"/>
      <c r="D208" s="22"/>
    </row>
    <row r="209" ht="15.75" customHeight="1">
      <c r="A209" s="22"/>
      <c r="D209" s="22"/>
    </row>
    <row r="210" ht="15.75" customHeight="1">
      <c r="A210" s="22"/>
      <c r="D210" s="22"/>
    </row>
    <row r="211" ht="15.75" customHeight="1">
      <c r="A211" s="22"/>
      <c r="D211" s="22"/>
    </row>
    <row r="212" ht="15.75" customHeight="1">
      <c r="A212" s="22"/>
      <c r="D212" s="22"/>
    </row>
    <row r="213" ht="15.75" customHeight="1">
      <c r="A213" s="22"/>
      <c r="D213" s="22"/>
    </row>
    <row r="214" ht="15.75" customHeight="1">
      <c r="A214" s="22"/>
      <c r="D214" s="22"/>
    </row>
    <row r="215" ht="15.75" customHeight="1">
      <c r="A215" s="22"/>
      <c r="D215" s="22"/>
    </row>
    <row r="216" ht="15.75" customHeight="1">
      <c r="A216" s="22"/>
      <c r="D216" s="22"/>
    </row>
    <row r="217" ht="15.75" customHeight="1">
      <c r="A217" s="22"/>
      <c r="D217" s="22"/>
    </row>
    <row r="218" ht="15.75" customHeight="1">
      <c r="A218" s="22"/>
      <c r="D218" s="22"/>
    </row>
    <row r="219" ht="15.75" customHeight="1">
      <c r="A219" s="22"/>
      <c r="D219" s="22"/>
    </row>
    <row r="220" ht="15.75" customHeight="1">
      <c r="A220" s="22"/>
      <c r="D220" s="22"/>
    </row>
    <row r="221" ht="15.75" customHeight="1">
      <c r="A221" s="22"/>
      <c r="D221" s="22"/>
    </row>
    <row r="222" ht="15.75" customHeight="1">
      <c r="A222" s="22"/>
      <c r="D222" s="22"/>
    </row>
    <row r="223" ht="15.75" customHeight="1">
      <c r="A223" s="22"/>
      <c r="D223" s="22"/>
    </row>
    <row r="224" ht="15.75" customHeight="1">
      <c r="A224" s="22"/>
      <c r="D224" s="22"/>
    </row>
    <row r="225" ht="15.75" customHeight="1">
      <c r="A225" s="22"/>
      <c r="D225" s="22"/>
    </row>
    <row r="226" ht="15.75" customHeight="1">
      <c r="A226" s="22"/>
      <c r="D226" s="22"/>
    </row>
    <row r="227" ht="15.75" customHeight="1">
      <c r="A227" s="22"/>
      <c r="D227" s="22"/>
    </row>
    <row r="228" ht="15.75" customHeight="1">
      <c r="A228" s="22"/>
      <c r="D228" s="22"/>
    </row>
    <row r="229" ht="15.75" customHeight="1">
      <c r="A229" s="22"/>
      <c r="D229" s="22"/>
    </row>
    <row r="230" ht="15.75" customHeight="1">
      <c r="A230" s="22"/>
      <c r="D230" s="22"/>
    </row>
    <row r="231" ht="15.75" customHeight="1">
      <c r="A231" s="22"/>
      <c r="D231" s="22"/>
    </row>
    <row r="232" ht="15.75" customHeight="1">
      <c r="A232" s="22"/>
      <c r="D232" s="22"/>
    </row>
    <row r="233" ht="15.75" customHeight="1">
      <c r="A233" s="22"/>
      <c r="D233" s="22"/>
    </row>
    <row r="234" ht="15.75" customHeight="1">
      <c r="A234" s="22"/>
      <c r="D234" s="22"/>
    </row>
    <row r="235" ht="15.75" customHeight="1">
      <c r="A235" s="22"/>
      <c r="D235" s="22"/>
    </row>
    <row r="236" ht="15.75" customHeight="1">
      <c r="A236" s="22"/>
      <c r="D236" s="22"/>
    </row>
    <row r="237" ht="15.75" customHeight="1">
      <c r="A237" s="22"/>
      <c r="D237" s="22"/>
    </row>
    <row r="238" ht="15.75" customHeight="1">
      <c r="A238" s="22"/>
      <c r="D238" s="22"/>
    </row>
    <row r="239" ht="15.75" customHeight="1">
      <c r="A239" s="22"/>
      <c r="D239" s="22"/>
    </row>
    <row r="240" ht="15.75" customHeight="1">
      <c r="A240" s="22"/>
      <c r="D240" s="22"/>
    </row>
    <row r="241" ht="15.75" customHeight="1">
      <c r="A241" s="22"/>
      <c r="D241" s="22"/>
    </row>
    <row r="242" ht="15.75" customHeight="1">
      <c r="A242" s="22"/>
      <c r="D242" s="22"/>
    </row>
    <row r="243" ht="15.75" customHeight="1">
      <c r="A243" s="22"/>
      <c r="D243" s="22"/>
    </row>
    <row r="244" ht="15.75" customHeight="1">
      <c r="A244" s="22"/>
      <c r="D244" s="22"/>
    </row>
    <row r="245" ht="15.75" customHeight="1">
      <c r="A245" s="22"/>
      <c r="D245" s="22"/>
    </row>
    <row r="246" ht="15.75" customHeight="1">
      <c r="A246" s="22"/>
      <c r="D246" s="22"/>
    </row>
    <row r="247" ht="15.75" customHeight="1">
      <c r="A247" s="22"/>
      <c r="D247" s="22"/>
    </row>
    <row r="248" ht="15.75" customHeight="1">
      <c r="A248" s="22"/>
      <c r="D248" s="22"/>
    </row>
    <row r="249" ht="15.75" customHeight="1">
      <c r="A249" s="22"/>
      <c r="D249" s="22"/>
    </row>
    <row r="250" ht="15.75" customHeight="1">
      <c r="A250" s="22"/>
      <c r="D250" s="22"/>
    </row>
    <row r="251" ht="15.75" customHeight="1">
      <c r="A251" s="22"/>
      <c r="D251" s="22"/>
    </row>
    <row r="252" ht="15.75" customHeight="1">
      <c r="A252" s="22"/>
      <c r="D252" s="22"/>
    </row>
    <row r="253" ht="15.75" customHeight="1">
      <c r="A253" s="22"/>
      <c r="D253" s="22"/>
    </row>
    <row r="254" ht="15.75" customHeight="1">
      <c r="A254" s="22"/>
      <c r="D254" s="22"/>
    </row>
    <row r="255" ht="15.75" customHeight="1">
      <c r="A255" s="22"/>
      <c r="D255" s="22"/>
    </row>
    <row r="256" ht="15.75" customHeight="1">
      <c r="A256" s="22"/>
      <c r="D256" s="22"/>
    </row>
    <row r="257" ht="15.75" customHeight="1">
      <c r="A257" s="22"/>
      <c r="D257" s="22"/>
    </row>
    <row r="258" ht="15.75" customHeight="1">
      <c r="A258" s="22"/>
      <c r="D258" s="22"/>
    </row>
    <row r="259" ht="15.75" customHeight="1">
      <c r="A259" s="22"/>
      <c r="D259" s="22"/>
    </row>
    <row r="260" ht="15.75" customHeight="1">
      <c r="A260" s="22"/>
      <c r="D260" s="22"/>
    </row>
    <row r="261" ht="15.75" customHeight="1">
      <c r="A261" s="22"/>
      <c r="D261" s="22"/>
    </row>
    <row r="262" ht="15.75" customHeight="1">
      <c r="A262" s="22"/>
      <c r="D262" s="22"/>
    </row>
    <row r="263" ht="15.75" customHeight="1">
      <c r="A263" s="22"/>
      <c r="D263" s="22"/>
    </row>
    <row r="264" ht="15.75" customHeight="1">
      <c r="A264" s="22"/>
      <c r="D264" s="22"/>
    </row>
    <row r="265" ht="15.75" customHeight="1">
      <c r="A265" s="22"/>
      <c r="D265" s="22"/>
    </row>
    <row r="266" ht="15.75" customHeight="1">
      <c r="A266" s="22"/>
      <c r="D266" s="22"/>
    </row>
    <row r="267" ht="15.75" customHeight="1">
      <c r="A267" s="22"/>
      <c r="D267" s="22"/>
    </row>
    <row r="268" ht="15.75" customHeight="1">
      <c r="A268" s="22"/>
      <c r="D268" s="22"/>
    </row>
    <row r="269" ht="15.75" customHeight="1">
      <c r="A269" s="22"/>
      <c r="D269" s="22"/>
    </row>
    <row r="270" ht="15.75" customHeight="1">
      <c r="A270" s="22"/>
      <c r="D270" s="22"/>
    </row>
    <row r="271" ht="15.75" customHeight="1">
      <c r="A271" s="22"/>
      <c r="D271" s="22"/>
    </row>
    <row r="272" ht="15.75" customHeight="1">
      <c r="A272" s="22"/>
      <c r="D272" s="22"/>
    </row>
    <row r="273" ht="15.75" customHeight="1">
      <c r="A273" s="22"/>
      <c r="D273" s="22"/>
    </row>
    <row r="274" ht="15.75" customHeight="1">
      <c r="A274" s="22"/>
      <c r="D274" s="22"/>
    </row>
    <row r="275" ht="15.75" customHeight="1">
      <c r="A275" s="22"/>
      <c r="D275" s="22"/>
    </row>
    <row r="276" ht="15.75" customHeight="1">
      <c r="A276" s="22"/>
      <c r="D276" s="22"/>
    </row>
    <row r="277" ht="15.75" customHeight="1">
      <c r="A277" s="22"/>
      <c r="D277" s="22"/>
    </row>
    <row r="278" ht="15.75" customHeight="1">
      <c r="A278" s="22"/>
      <c r="D278" s="22"/>
    </row>
    <row r="279" ht="15.75" customHeight="1">
      <c r="A279" s="22"/>
      <c r="D279" s="22"/>
    </row>
    <row r="280" ht="15.75" customHeight="1">
      <c r="A280" s="22"/>
      <c r="D280" s="22"/>
    </row>
    <row r="281" ht="15.75" customHeight="1">
      <c r="A281" s="22"/>
      <c r="D281" s="22"/>
    </row>
    <row r="282" ht="15.75" customHeight="1">
      <c r="A282" s="22"/>
      <c r="D282" s="22"/>
    </row>
    <row r="283" ht="15.75" customHeight="1">
      <c r="A283" s="22"/>
      <c r="D283" s="22"/>
    </row>
    <row r="284" ht="15.75" customHeight="1">
      <c r="A284" s="22"/>
      <c r="D284" s="22"/>
    </row>
    <row r="285" ht="15.75" customHeight="1">
      <c r="A285" s="22"/>
      <c r="D285" s="22"/>
    </row>
    <row r="286" ht="15.75" customHeight="1">
      <c r="A286" s="22"/>
      <c r="D286" s="22"/>
    </row>
    <row r="287" ht="15.75" customHeight="1">
      <c r="A287" s="22"/>
      <c r="D287" s="22"/>
    </row>
    <row r="288" ht="15.75" customHeight="1">
      <c r="A288" s="22"/>
      <c r="D288" s="22"/>
    </row>
    <row r="289" ht="15.75" customHeight="1">
      <c r="A289" s="22"/>
      <c r="D289" s="22"/>
    </row>
    <row r="290" ht="15.75" customHeight="1">
      <c r="A290" s="22"/>
      <c r="D290" s="22"/>
    </row>
    <row r="291" ht="15.75" customHeight="1">
      <c r="A291" s="22"/>
      <c r="D291" s="22"/>
    </row>
    <row r="292" ht="15.75" customHeight="1">
      <c r="A292" s="22"/>
      <c r="D292" s="22"/>
    </row>
    <row r="293" ht="15.75" customHeight="1">
      <c r="A293" s="22"/>
      <c r="D293" s="22"/>
    </row>
    <row r="294" ht="15.75" customHeight="1">
      <c r="A294" s="22"/>
      <c r="D294" s="22"/>
    </row>
    <row r="295" ht="15.75" customHeight="1">
      <c r="A295" s="22"/>
      <c r="D295" s="22"/>
    </row>
    <row r="296" ht="15.75" customHeight="1">
      <c r="A296" s="22"/>
      <c r="D296" s="22"/>
    </row>
    <row r="297" ht="15.75" customHeight="1">
      <c r="A297" s="22"/>
      <c r="D297" s="22"/>
    </row>
    <row r="298" ht="15.75" customHeight="1">
      <c r="A298" s="22"/>
      <c r="D298" s="22"/>
    </row>
    <row r="299" ht="15.75" customHeight="1">
      <c r="A299" s="22"/>
      <c r="D299" s="22"/>
    </row>
    <row r="300" ht="15.75" customHeight="1">
      <c r="A300" s="22"/>
      <c r="D300" s="22"/>
    </row>
    <row r="301" ht="15.75" customHeight="1">
      <c r="A301" s="22"/>
      <c r="D301" s="22"/>
    </row>
    <row r="302" ht="15.75" customHeight="1">
      <c r="A302" s="22"/>
      <c r="D302" s="22"/>
    </row>
    <row r="303" ht="15.75" customHeight="1">
      <c r="A303" s="22"/>
      <c r="D303" s="22"/>
    </row>
    <row r="304" ht="15.75" customHeight="1">
      <c r="A304" s="22"/>
      <c r="D304" s="22"/>
    </row>
    <row r="305" ht="15.75" customHeight="1">
      <c r="A305" s="22"/>
      <c r="D305" s="22"/>
    </row>
    <row r="306" ht="15.75" customHeight="1">
      <c r="A306" s="22"/>
      <c r="D306" s="22"/>
    </row>
    <row r="307" ht="15.75" customHeight="1">
      <c r="A307" s="22"/>
      <c r="D307" s="22"/>
    </row>
    <row r="308" ht="15.75" customHeight="1">
      <c r="A308" s="22"/>
      <c r="D308" s="22"/>
    </row>
    <row r="309" ht="15.75" customHeight="1">
      <c r="A309" s="22"/>
      <c r="D309" s="22"/>
    </row>
    <row r="310" ht="15.75" customHeight="1">
      <c r="A310" s="22"/>
      <c r="D310" s="22"/>
    </row>
    <row r="311" ht="15.75" customHeight="1">
      <c r="A311" s="22"/>
      <c r="D311" s="22"/>
    </row>
    <row r="312" ht="15.75" customHeight="1">
      <c r="A312" s="22"/>
      <c r="D312" s="22"/>
    </row>
    <row r="313" ht="15.75" customHeight="1">
      <c r="A313" s="22"/>
      <c r="D313" s="22"/>
    </row>
    <row r="314" ht="15.75" customHeight="1">
      <c r="A314" s="22"/>
      <c r="D314" s="22"/>
    </row>
    <row r="315" ht="15.75" customHeight="1">
      <c r="A315" s="22"/>
      <c r="D315" s="22"/>
    </row>
    <row r="316" ht="15.75" customHeight="1">
      <c r="A316" s="22"/>
      <c r="D316" s="22"/>
    </row>
    <row r="317" ht="15.75" customHeight="1">
      <c r="A317" s="22"/>
      <c r="D317" s="22"/>
    </row>
    <row r="318" ht="15.75" customHeight="1">
      <c r="A318" s="22"/>
      <c r="D318" s="22"/>
    </row>
    <row r="319" ht="15.75" customHeight="1">
      <c r="A319" s="22"/>
      <c r="D319" s="22"/>
    </row>
    <row r="320" ht="15.75" customHeight="1">
      <c r="A320" s="22"/>
      <c r="D320" s="22"/>
    </row>
    <row r="321" ht="15.75" customHeight="1">
      <c r="A321" s="22"/>
      <c r="D321" s="22"/>
    </row>
    <row r="322" ht="15.75" customHeight="1">
      <c r="A322" s="22"/>
      <c r="D322" s="22"/>
    </row>
    <row r="323" ht="15.75" customHeight="1">
      <c r="A323" s="22"/>
      <c r="D323" s="22"/>
    </row>
    <row r="324" ht="15.75" customHeight="1">
      <c r="A324" s="22"/>
      <c r="D324" s="22"/>
    </row>
    <row r="325" ht="15.75" customHeight="1">
      <c r="A325" s="22"/>
      <c r="D325" s="22"/>
    </row>
    <row r="326" ht="15.75" customHeight="1">
      <c r="A326" s="22"/>
      <c r="D326" s="22"/>
    </row>
    <row r="327" ht="15.75" customHeight="1">
      <c r="A327" s="22"/>
      <c r="D327" s="22"/>
    </row>
    <row r="328" ht="15.75" customHeight="1">
      <c r="A328" s="22"/>
      <c r="D328" s="22"/>
    </row>
    <row r="329" ht="15.75" customHeight="1">
      <c r="A329" s="22"/>
      <c r="D329" s="22"/>
    </row>
    <row r="330" ht="15.75" customHeight="1">
      <c r="A330" s="22"/>
      <c r="D330" s="22"/>
    </row>
    <row r="331" ht="15.75" customHeight="1">
      <c r="A331" s="22"/>
      <c r="D331" s="22"/>
    </row>
    <row r="332" ht="15.75" customHeight="1">
      <c r="A332" s="22"/>
      <c r="D332" s="22"/>
    </row>
    <row r="333" ht="15.75" customHeight="1">
      <c r="A333" s="22"/>
      <c r="D333" s="22"/>
    </row>
    <row r="334" ht="15.75" customHeight="1">
      <c r="A334" s="22"/>
      <c r="D334" s="22"/>
    </row>
    <row r="335" ht="15.75" customHeight="1">
      <c r="A335" s="22"/>
      <c r="D335" s="22"/>
    </row>
    <row r="336" ht="15.75" customHeight="1">
      <c r="A336" s="22"/>
      <c r="D336" s="22"/>
    </row>
    <row r="337" ht="15.75" customHeight="1">
      <c r="A337" s="22"/>
      <c r="D337" s="22"/>
    </row>
    <row r="338" ht="15.75" customHeight="1">
      <c r="A338" s="22"/>
      <c r="D338" s="22"/>
    </row>
    <row r="339" ht="15.75" customHeight="1">
      <c r="A339" s="22"/>
      <c r="D339" s="22"/>
    </row>
    <row r="340" ht="15.75" customHeight="1">
      <c r="A340" s="22"/>
      <c r="D340" s="22"/>
    </row>
    <row r="341" ht="15.75" customHeight="1">
      <c r="A341" s="22"/>
      <c r="D341" s="22"/>
    </row>
    <row r="342" ht="15.75" customHeight="1">
      <c r="A342" s="22"/>
      <c r="D342" s="22"/>
    </row>
    <row r="343" ht="15.75" customHeight="1">
      <c r="A343" s="22"/>
      <c r="D343" s="22"/>
    </row>
    <row r="344" ht="15.75" customHeight="1">
      <c r="A344" s="22"/>
      <c r="D344" s="22"/>
    </row>
    <row r="345" ht="15.75" customHeight="1">
      <c r="A345" s="22"/>
      <c r="D345" s="22"/>
    </row>
    <row r="346" ht="15.75" customHeight="1">
      <c r="A346" s="22"/>
      <c r="D346" s="22"/>
    </row>
    <row r="347" ht="15.75" customHeight="1">
      <c r="A347" s="22"/>
      <c r="D347" s="22"/>
    </row>
    <row r="348" ht="15.75" customHeight="1">
      <c r="A348" s="22"/>
      <c r="D348" s="22"/>
    </row>
    <row r="349" ht="15.75" customHeight="1">
      <c r="A349" s="22"/>
      <c r="D349" s="22"/>
    </row>
    <row r="350" ht="15.75" customHeight="1">
      <c r="A350" s="22"/>
      <c r="D350" s="22"/>
    </row>
    <row r="351" ht="15.75" customHeight="1">
      <c r="A351" s="22"/>
      <c r="D351" s="22"/>
    </row>
    <row r="352" ht="15.75" customHeight="1">
      <c r="A352" s="22"/>
      <c r="D352" s="22"/>
    </row>
    <row r="353" ht="15.75" customHeight="1">
      <c r="A353" s="22"/>
      <c r="D353" s="22"/>
    </row>
    <row r="354" ht="15.75" customHeight="1">
      <c r="A354" s="22"/>
      <c r="D354" s="22"/>
    </row>
    <row r="355" ht="15.75" customHeight="1">
      <c r="A355" s="22"/>
      <c r="D355" s="22"/>
    </row>
    <row r="356" ht="15.75" customHeight="1">
      <c r="A356" s="22"/>
      <c r="D356" s="22"/>
    </row>
    <row r="357" ht="15.75" customHeight="1">
      <c r="A357" s="22"/>
      <c r="D357" s="22"/>
    </row>
    <row r="358" ht="15.75" customHeight="1">
      <c r="A358" s="22"/>
      <c r="D358" s="22"/>
    </row>
    <row r="359" ht="15.75" customHeight="1">
      <c r="A359" s="22"/>
      <c r="D359" s="22"/>
    </row>
    <row r="360" ht="15.75" customHeight="1">
      <c r="A360" s="22"/>
      <c r="D360" s="22"/>
    </row>
    <row r="361" ht="15.75" customHeight="1">
      <c r="A361" s="22"/>
      <c r="D361" s="22"/>
    </row>
    <row r="362" ht="15.75" customHeight="1">
      <c r="A362" s="22"/>
      <c r="D362" s="22"/>
    </row>
    <row r="363" ht="15.75" customHeight="1">
      <c r="A363" s="22"/>
      <c r="D363" s="22"/>
    </row>
    <row r="364" ht="15.75" customHeight="1">
      <c r="A364" s="22"/>
      <c r="D364" s="22"/>
    </row>
    <row r="365" ht="15.75" customHeight="1">
      <c r="A365" s="22"/>
      <c r="D365" s="22"/>
    </row>
    <row r="366" ht="15.75" customHeight="1">
      <c r="A366" s="22"/>
      <c r="D366" s="22"/>
    </row>
    <row r="367" ht="15.75" customHeight="1">
      <c r="A367" s="22"/>
      <c r="D367" s="22"/>
    </row>
    <row r="368" ht="15.75" customHeight="1">
      <c r="A368" s="22"/>
      <c r="D368" s="22"/>
    </row>
    <row r="369" ht="15.75" customHeight="1">
      <c r="A369" s="22"/>
      <c r="D369" s="22"/>
    </row>
    <row r="370" ht="15.75" customHeight="1">
      <c r="A370" s="22"/>
      <c r="D370" s="22"/>
    </row>
    <row r="371" ht="15.75" customHeight="1">
      <c r="A371" s="22"/>
      <c r="D371" s="22"/>
    </row>
    <row r="372" ht="15.75" customHeight="1">
      <c r="A372" s="22"/>
      <c r="D372" s="22"/>
    </row>
    <row r="373" ht="15.75" customHeight="1">
      <c r="A373" s="22"/>
      <c r="D373" s="22"/>
    </row>
    <row r="374" ht="15.75" customHeight="1">
      <c r="A374" s="22"/>
      <c r="D374" s="22"/>
    </row>
    <row r="375" ht="15.75" customHeight="1">
      <c r="A375" s="22"/>
      <c r="D375" s="22"/>
    </row>
    <row r="376" ht="15.75" customHeight="1">
      <c r="A376" s="22"/>
      <c r="D376" s="22"/>
    </row>
    <row r="377" ht="15.75" customHeight="1">
      <c r="A377" s="22"/>
      <c r="D377" s="22"/>
    </row>
    <row r="378" ht="15.75" customHeight="1">
      <c r="A378" s="22"/>
      <c r="D378" s="22"/>
    </row>
    <row r="379" ht="15.75" customHeight="1">
      <c r="A379" s="22"/>
      <c r="D379" s="22"/>
    </row>
    <row r="380" ht="15.75" customHeight="1">
      <c r="A380" s="22"/>
      <c r="D380" s="22"/>
    </row>
    <row r="381" ht="15.75" customHeight="1">
      <c r="A381" s="22"/>
      <c r="D381" s="22"/>
    </row>
    <row r="382" ht="15.75" customHeight="1">
      <c r="A382" s="22"/>
      <c r="D382" s="22"/>
    </row>
    <row r="383" ht="15.75" customHeight="1">
      <c r="A383" s="22"/>
      <c r="D383" s="22"/>
    </row>
    <row r="384" ht="15.75" customHeight="1">
      <c r="A384" s="22"/>
      <c r="D384" s="22"/>
    </row>
    <row r="385" ht="15.75" customHeight="1">
      <c r="A385" s="22"/>
      <c r="D385" s="22"/>
    </row>
    <row r="386" ht="15.75" customHeight="1">
      <c r="A386" s="22"/>
      <c r="D386" s="22"/>
    </row>
    <row r="387" ht="15.75" customHeight="1">
      <c r="A387" s="22"/>
      <c r="D387" s="22"/>
    </row>
    <row r="388" ht="15.75" customHeight="1">
      <c r="A388" s="22"/>
      <c r="D388" s="22"/>
    </row>
    <row r="389" ht="15.75" customHeight="1">
      <c r="A389" s="22"/>
      <c r="D389" s="22"/>
    </row>
    <row r="390" ht="15.75" customHeight="1">
      <c r="A390" s="22"/>
      <c r="D390" s="22"/>
    </row>
    <row r="391" ht="15.75" customHeight="1">
      <c r="A391" s="22"/>
      <c r="D391" s="22"/>
    </row>
    <row r="392" ht="15.75" customHeight="1">
      <c r="A392" s="22"/>
      <c r="D392" s="22"/>
    </row>
    <row r="393" ht="15.75" customHeight="1">
      <c r="A393" s="22"/>
      <c r="D393" s="22"/>
    </row>
    <row r="394" ht="15.75" customHeight="1">
      <c r="A394" s="22"/>
      <c r="D394" s="22"/>
    </row>
    <row r="395" ht="15.75" customHeight="1">
      <c r="A395" s="22"/>
      <c r="D395" s="22"/>
    </row>
    <row r="396" ht="15.75" customHeight="1">
      <c r="A396" s="22"/>
      <c r="D396" s="22"/>
    </row>
    <row r="397" ht="15.75" customHeight="1">
      <c r="A397" s="22"/>
      <c r="D397" s="22"/>
    </row>
    <row r="398" ht="15.75" customHeight="1">
      <c r="A398" s="22"/>
      <c r="D398" s="22"/>
    </row>
    <row r="399" ht="15.75" customHeight="1">
      <c r="A399" s="22"/>
      <c r="D399" s="22"/>
    </row>
    <row r="400" ht="15.75" customHeight="1">
      <c r="A400" s="22"/>
      <c r="D400" s="22"/>
    </row>
    <row r="401" ht="15.75" customHeight="1">
      <c r="A401" s="22"/>
      <c r="D401" s="22"/>
    </row>
    <row r="402" ht="15.75" customHeight="1">
      <c r="A402" s="22"/>
      <c r="D402" s="22"/>
    </row>
    <row r="403" ht="15.75" customHeight="1">
      <c r="A403" s="22"/>
      <c r="D403" s="22"/>
    </row>
    <row r="404" ht="15.75" customHeight="1">
      <c r="A404" s="22"/>
      <c r="D404" s="22"/>
    </row>
    <row r="405" ht="15.75" customHeight="1">
      <c r="A405" s="22"/>
      <c r="D405" s="22"/>
    </row>
    <row r="406" ht="15.75" customHeight="1">
      <c r="A406" s="22"/>
      <c r="D406" s="22"/>
    </row>
    <row r="407" ht="15.75" customHeight="1">
      <c r="A407" s="22"/>
      <c r="D407" s="22"/>
    </row>
    <row r="408" ht="15.75" customHeight="1">
      <c r="A408" s="22"/>
      <c r="D408" s="22"/>
    </row>
    <row r="409" ht="15.75" customHeight="1">
      <c r="A409" s="22"/>
      <c r="D409" s="22"/>
    </row>
    <row r="410" ht="15.75" customHeight="1">
      <c r="A410" s="22"/>
      <c r="D410" s="22"/>
    </row>
    <row r="411" ht="15.75" customHeight="1">
      <c r="A411" s="22"/>
      <c r="D411" s="22"/>
    </row>
    <row r="412" ht="15.75" customHeight="1">
      <c r="A412" s="22"/>
      <c r="D412" s="22"/>
    </row>
    <row r="413" ht="15.75" customHeight="1">
      <c r="A413" s="22"/>
      <c r="D413" s="22"/>
    </row>
    <row r="414" ht="15.75" customHeight="1">
      <c r="A414" s="22"/>
      <c r="D414" s="22"/>
    </row>
    <row r="415" ht="15.75" customHeight="1">
      <c r="A415" s="22"/>
      <c r="D415" s="22"/>
    </row>
    <row r="416" ht="15.75" customHeight="1">
      <c r="A416" s="22"/>
      <c r="D416" s="22"/>
    </row>
    <row r="417" ht="15.75" customHeight="1">
      <c r="A417" s="22"/>
      <c r="D417" s="22"/>
    </row>
    <row r="418" ht="15.75" customHeight="1">
      <c r="A418" s="22"/>
      <c r="D418" s="22"/>
    </row>
    <row r="419" ht="15.75" customHeight="1">
      <c r="A419" s="22"/>
      <c r="D419" s="22"/>
    </row>
    <row r="420" ht="15.75" customHeight="1">
      <c r="A420" s="22"/>
      <c r="D420" s="22"/>
    </row>
    <row r="421" ht="15.75" customHeight="1">
      <c r="A421" s="22"/>
      <c r="D421" s="22"/>
    </row>
    <row r="422" ht="15.75" customHeight="1">
      <c r="A422" s="22"/>
      <c r="D422" s="22"/>
    </row>
    <row r="423" ht="15.75" customHeight="1">
      <c r="A423" s="22"/>
      <c r="D423" s="22"/>
    </row>
    <row r="424" ht="15.75" customHeight="1">
      <c r="A424" s="22"/>
      <c r="D424" s="22"/>
    </row>
    <row r="425" ht="15.75" customHeight="1">
      <c r="A425" s="22"/>
      <c r="D425" s="22"/>
    </row>
    <row r="426" ht="15.75" customHeight="1">
      <c r="A426" s="22"/>
      <c r="D426" s="22"/>
    </row>
    <row r="427" ht="15.75" customHeight="1">
      <c r="A427" s="22"/>
      <c r="D427" s="22"/>
    </row>
    <row r="428" ht="15.75" customHeight="1">
      <c r="A428" s="22"/>
      <c r="D428" s="22"/>
    </row>
    <row r="429" ht="15.75" customHeight="1">
      <c r="A429" s="22"/>
      <c r="D429" s="22"/>
    </row>
    <row r="430" ht="15.75" customHeight="1">
      <c r="A430" s="22"/>
      <c r="D430" s="22"/>
    </row>
    <row r="431" ht="15.75" customHeight="1">
      <c r="A431" s="22"/>
      <c r="D431" s="22"/>
    </row>
    <row r="432" ht="15.75" customHeight="1">
      <c r="A432" s="22"/>
      <c r="D432" s="22"/>
    </row>
    <row r="433" ht="15.75" customHeight="1">
      <c r="A433" s="22"/>
      <c r="D433" s="22"/>
    </row>
    <row r="434" ht="15.75" customHeight="1">
      <c r="A434" s="22"/>
      <c r="D434" s="22"/>
    </row>
    <row r="435" ht="15.75" customHeight="1">
      <c r="A435" s="22"/>
      <c r="D435" s="22"/>
    </row>
    <row r="436" ht="15.75" customHeight="1">
      <c r="A436" s="22"/>
      <c r="D436" s="22"/>
    </row>
    <row r="437" ht="15.75" customHeight="1">
      <c r="A437" s="22"/>
      <c r="D437" s="22"/>
    </row>
    <row r="438" ht="15.75" customHeight="1">
      <c r="A438" s="22"/>
      <c r="D438" s="22"/>
    </row>
    <row r="439" ht="15.75" customHeight="1">
      <c r="A439" s="22"/>
      <c r="D439" s="22"/>
    </row>
    <row r="440" ht="15.75" customHeight="1">
      <c r="A440" s="22"/>
      <c r="D440" s="22"/>
    </row>
    <row r="441" ht="15.75" customHeight="1">
      <c r="A441" s="22"/>
      <c r="D441" s="22"/>
    </row>
    <row r="442" ht="15.75" customHeight="1">
      <c r="A442" s="22"/>
      <c r="D442" s="22"/>
    </row>
    <row r="443" ht="15.75" customHeight="1">
      <c r="A443" s="22"/>
      <c r="D443" s="22"/>
    </row>
    <row r="444" ht="15.75" customHeight="1">
      <c r="A444" s="22"/>
      <c r="D444" s="22"/>
    </row>
    <row r="445" ht="15.75" customHeight="1">
      <c r="A445" s="22"/>
      <c r="D445" s="22"/>
    </row>
    <row r="446" ht="15.75" customHeight="1">
      <c r="A446" s="22"/>
      <c r="D446" s="22"/>
    </row>
    <row r="447" ht="15.75" customHeight="1">
      <c r="A447" s="22"/>
      <c r="D447" s="22"/>
    </row>
    <row r="448" ht="15.75" customHeight="1">
      <c r="A448" s="22"/>
      <c r="D448" s="22"/>
    </row>
    <row r="449" ht="15.75" customHeight="1">
      <c r="A449" s="22"/>
      <c r="D449" s="22"/>
    </row>
    <row r="450" ht="15.75" customHeight="1">
      <c r="A450" s="22"/>
      <c r="D450" s="22"/>
    </row>
    <row r="451" ht="15.75" customHeight="1">
      <c r="A451" s="22"/>
      <c r="D451" s="22"/>
    </row>
    <row r="452" ht="15.75" customHeight="1">
      <c r="A452" s="22"/>
      <c r="D452" s="22"/>
    </row>
    <row r="453" ht="15.75" customHeight="1">
      <c r="A453" s="22"/>
      <c r="D453" s="22"/>
    </row>
    <row r="454" ht="15.75" customHeight="1">
      <c r="A454" s="22"/>
      <c r="D454" s="22"/>
    </row>
    <row r="455" ht="15.75" customHeight="1">
      <c r="A455" s="22"/>
      <c r="D455" s="22"/>
    </row>
    <row r="456" ht="15.75" customHeight="1">
      <c r="A456" s="22"/>
      <c r="D456" s="22"/>
    </row>
    <row r="457" ht="15.75" customHeight="1">
      <c r="A457" s="22"/>
      <c r="D457" s="22"/>
    </row>
    <row r="458" ht="15.75" customHeight="1">
      <c r="A458" s="22"/>
      <c r="D458" s="22"/>
    </row>
    <row r="459" ht="15.75" customHeight="1">
      <c r="A459" s="22"/>
      <c r="D459" s="22"/>
    </row>
    <row r="460" ht="15.75" customHeight="1">
      <c r="A460" s="22"/>
      <c r="D460" s="22"/>
    </row>
    <row r="461" ht="15.75" customHeight="1">
      <c r="A461" s="22"/>
      <c r="D461" s="22"/>
    </row>
    <row r="462" ht="15.75" customHeight="1">
      <c r="A462" s="22"/>
      <c r="D462" s="22"/>
    </row>
    <row r="463" ht="15.75" customHeight="1">
      <c r="A463" s="22"/>
      <c r="D463" s="22"/>
    </row>
    <row r="464" ht="15.75" customHeight="1">
      <c r="A464" s="22"/>
      <c r="D464" s="22"/>
    </row>
    <row r="465" ht="15.75" customHeight="1">
      <c r="A465" s="22"/>
      <c r="D465" s="22"/>
    </row>
    <row r="466" ht="15.75" customHeight="1">
      <c r="A466" s="22"/>
      <c r="D466" s="22"/>
    </row>
    <row r="467" ht="15.75" customHeight="1">
      <c r="A467" s="22"/>
      <c r="D467" s="22"/>
    </row>
    <row r="468" ht="15.75" customHeight="1">
      <c r="A468" s="22"/>
      <c r="D468" s="22"/>
    </row>
    <row r="469" ht="15.75" customHeight="1">
      <c r="A469" s="22"/>
      <c r="D469" s="22"/>
    </row>
    <row r="470" ht="15.75" customHeight="1">
      <c r="A470" s="22"/>
      <c r="D470" s="22"/>
    </row>
    <row r="471" ht="15.75" customHeight="1">
      <c r="A471" s="22"/>
      <c r="D471" s="22"/>
    </row>
    <row r="472" ht="15.75" customHeight="1">
      <c r="A472" s="22"/>
      <c r="D472" s="22"/>
    </row>
    <row r="473" ht="15.75" customHeight="1">
      <c r="A473" s="22"/>
      <c r="D473" s="22"/>
    </row>
    <row r="474" ht="15.75" customHeight="1">
      <c r="A474" s="22"/>
      <c r="D474" s="22"/>
    </row>
    <row r="475" ht="15.75" customHeight="1">
      <c r="A475" s="22"/>
      <c r="D475" s="22"/>
    </row>
    <row r="476" ht="15.75" customHeight="1">
      <c r="A476" s="22"/>
      <c r="D476" s="22"/>
    </row>
    <row r="477" ht="15.75" customHeight="1">
      <c r="A477" s="22"/>
      <c r="D477" s="22"/>
    </row>
    <row r="478" ht="15.75" customHeight="1">
      <c r="A478" s="22"/>
      <c r="D478" s="22"/>
    </row>
    <row r="479" ht="15.75" customHeight="1">
      <c r="A479" s="22"/>
      <c r="D479" s="22"/>
    </row>
    <row r="480" ht="15.75" customHeight="1">
      <c r="A480" s="22"/>
      <c r="D480" s="22"/>
    </row>
    <row r="481" ht="15.75" customHeight="1">
      <c r="A481" s="22"/>
      <c r="D481" s="22"/>
    </row>
    <row r="482" ht="15.75" customHeight="1">
      <c r="A482" s="22"/>
      <c r="D482" s="22"/>
    </row>
    <row r="483" ht="15.75" customHeight="1">
      <c r="A483" s="22"/>
      <c r="D483" s="22"/>
    </row>
    <row r="484" ht="15.75" customHeight="1">
      <c r="A484" s="22"/>
      <c r="D484" s="22"/>
    </row>
    <row r="485" ht="15.75" customHeight="1">
      <c r="A485" s="22"/>
      <c r="D485" s="22"/>
    </row>
    <row r="486" ht="15.75" customHeight="1">
      <c r="A486" s="22"/>
      <c r="D486" s="22"/>
    </row>
    <row r="487" ht="15.75" customHeight="1">
      <c r="A487" s="22"/>
      <c r="D487" s="22"/>
    </row>
    <row r="488" ht="15.75" customHeight="1">
      <c r="A488" s="22"/>
      <c r="D488" s="22"/>
    </row>
    <row r="489" ht="15.75" customHeight="1">
      <c r="A489" s="22"/>
      <c r="D489" s="22"/>
    </row>
    <row r="490" ht="15.75" customHeight="1">
      <c r="A490" s="22"/>
      <c r="D490" s="22"/>
    </row>
    <row r="491" ht="15.75" customHeight="1">
      <c r="A491" s="22"/>
      <c r="D491" s="22"/>
    </row>
    <row r="492" ht="15.75" customHeight="1">
      <c r="A492" s="22"/>
      <c r="D492" s="22"/>
    </row>
    <row r="493" ht="15.75" customHeight="1">
      <c r="A493" s="22"/>
      <c r="D493" s="22"/>
    </row>
    <row r="494" ht="15.75" customHeight="1">
      <c r="A494" s="22"/>
      <c r="D494" s="22"/>
    </row>
    <row r="495" ht="15.75" customHeight="1">
      <c r="A495" s="22"/>
      <c r="D495" s="22"/>
    </row>
    <row r="496" ht="15.75" customHeight="1">
      <c r="A496" s="22"/>
      <c r="D496" s="22"/>
    </row>
    <row r="497" ht="15.75" customHeight="1">
      <c r="A497" s="22"/>
      <c r="D497" s="22"/>
    </row>
    <row r="498" ht="15.75" customHeight="1">
      <c r="A498" s="22"/>
      <c r="D498" s="22"/>
    </row>
    <row r="499" ht="15.75" customHeight="1">
      <c r="A499" s="22"/>
      <c r="D499" s="22"/>
    </row>
    <row r="500" ht="15.75" customHeight="1">
      <c r="A500" s="22"/>
      <c r="D500" s="22"/>
    </row>
    <row r="501" ht="15.75" customHeight="1">
      <c r="A501" s="22"/>
      <c r="D501" s="22"/>
    </row>
    <row r="502" ht="15.75" customHeight="1">
      <c r="A502" s="22"/>
      <c r="D502" s="22"/>
    </row>
    <row r="503" ht="15.75" customHeight="1">
      <c r="A503" s="22"/>
      <c r="D503" s="22"/>
    </row>
    <row r="504" ht="15.75" customHeight="1">
      <c r="A504" s="22"/>
      <c r="D504" s="22"/>
    </row>
    <row r="505" ht="15.75" customHeight="1">
      <c r="A505" s="22"/>
      <c r="D505" s="22"/>
    </row>
    <row r="506" ht="15.75" customHeight="1">
      <c r="A506" s="22"/>
      <c r="D506" s="22"/>
    </row>
    <row r="507" ht="15.75" customHeight="1">
      <c r="A507" s="22"/>
      <c r="D507" s="22"/>
    </row>
    <row r="508" ht="15.75" customHeight="1">
      <c r="A508" s="22"/>
      <c r="D508" s="22"/>
    </row>
    <row r="509" ht="15.75" customHeight="1">
      <c r="A509" s="22"/>
      <c r="D509" s="22"/>
    </row>
    <row r="510" ht="15.75" customHeight="1">
      <c r="A510" s="22"/>
      <c r="D510" s="22"/>
    </row>
    <row r="511" ht="15.75" customHeight="1">
      <c r="A511" s="22"/>
      <c r="D511" s="22"/>
    </row>
    <row r="512" ht="15.75" customHeight="1">
      <c r="A512" s="22"/>
      <c r="D512" s="22"/>
    </row>
    <row r="513" ht="15.75" customHeight="1">
      <c r="A513" s="22"/>
      <c r="D513" s="22"/>
    </row>
    <row r="514" ht="15.75" customHeight="1">
      <c r="A514" s="22"/>
      <c r="D514" s="22"/>
    </row>
    <row r="515" ht="15.75" customHeight="1">
      <c r="A515" s="22"/>
      <c r="D515" s="22"/>
    </row>
    <row r="516" ht="15.75" customHeight="1">
      <c r="A516" s="22"/>
      <c r="D516" s="22"/>
    </row>
    <row r="517" ht="15.75" customHeight="1">
      <c r="A517" s="22"/>
      <c r="D517" s="22"/>
    </row>
    <row r="518" ht="15.75" customHeight="1">
      <c r="A518" s="22"/>
      <c r="D518" s="22"/>
    </row>
    <row r="519" ht="15.75" customHeight="1">
      <c r="A519" s="22"/>
      <c r="D519" s="22"/>
    </row>
    <row r="520" ht="15.75" customHeight="1">
      <c r="A520" s="22"/>
      <c r="D520" s="22"/>
    </row>
    <row r="521" ht="15.75" customHeight="1">
      <c r="A521" s="22"/>
      <c r="D521" s="22"/>
    </row>
    <row r="522" ht="15.75" customHeight="1">
      <c r="A522" s="22"/>
      <c r="D522" s="22"/>
    </row>
    <row r="523" ht="15.75" customHeight="1">
      <c r="A523" s="22"/>
      <c r="D523" s="22"/>
    </row>
    <row r="524" ht="15.75" customHeight="1">
      <c r="A524" s="22"/>
      <c r="D524" s="22"/>
    </row>
    <row r="525" ht="15.75" customHeight="1">
      <c r="A525" s="22"/>
      <c r="D525" s="22"/>
    </row>
    <row r="526" ht="15.75" customHeight="1">
      <c r="A526" s="22"/>
      <c r="D526" s="22"/>
    </row>
    <row r="527" ht="15.75" customHeight="1">
      <c r="A527" s="22"/>
      <c r="D527" s="22"/>
    </row>
    <row r="528" ht="15.75" customHeight="1">
      <c r="A528" s="22"/>
      <c r="D528" s="22"/>
    </row>
    <row r="529" ht="15.75" customHeight="1">
      <c r="A529" s="22"/>
      <c r="D529" s="22"/>
    </row>
    <row r="530" ht="15.75" customHeight="1">
      <c r="A530" s="22"/>
      <c r="D530" s="22"/>
    </row>
    <row r="531" ht="15.75" customHeight="1">
      <c r="A531" s="22"/>
      <c r="D531" s="22"/>
    </row>
    <row r="532" ht="15.75" customHeight="1">
      <c r="A532" s="22"/>
      <c r="D532" s="22"/>
    </row>
    <row r="533" ht="15.75" customHeight="1">
      <c r="A533" s="22"/>
      <c r="D533" s="22"/>
    </row>
    <row r="534" ht="15.75" customHeight="1">
      <c r="A534" s="22"/>
      <c r="D534" s="22"/>
    </row>
    <row r="535" ht="15.75" customHeight="1">
      <c r="A535" s="22"/>
      <c r="D535" s="22"/>
    </row>
    <row r="536" ht="15.75" customHeight="1">
      <c r="A536" s="22"/>
      <c r="D536" s="22"/>
    </row>
    <row r="537" ht="15.75" customHeight="1">
      <c r="A537" s="22"/>
      <c r="D537" s="22"/>
    </row>
    <row r="538" ht="15.75" customHeight="1">
      <c r="A538" s="22"/>
      <c r="D538" s="22"/>
    </row>
    <row r="539" ht="15.75" customHeight="1">
      <c r="A539" s="22"/>
      <c r="D539" s="22"/>
    </row>
    <row r="540" ht="15.75" customHeight="1">
      <c r="A540" s="22"/>
      <c r="D540" s="22"/>
    </row>
    <row r="541" ht="15.75" customHeight="1">
      <c r="A541" s="22"/>
      <c r="D541" s="22"/>
    </row>
    <row r="542" ht="15.75" customHeight="1">
      <c r="A542" s="22"/>
      <c r="D542" s="22"/>
    </row>
    <row r="543" ht="15.75" customHeight="1">
      <c r="A543" s="22"/>
      <c r="D543" s="22"/>
    </row>
    <row r="544" ht="15.75" customHeight="1">
      <c r="A544" s="22"/>
      <c r="D544" s="22"/>
    </row>
    <row r="545" ht="15.75" customHeight="1">
      <c r="A545" s="22"/>
      <c r="D545" s="22"/>
    </row>
    <row r="546" ht="15.75" customHeight="1">
      <c r="A546" s="22"/>
      <c r="D546" s="22"/>
    </row>
    <row r="547" ht="15.75" customHeight="1">
      <c r="A547" s="22"/>
      <c r="D547" s="22"/>
    </row>
    <row r="548" ht="15.75" customHeight="1">
      <c r="A548" s="22"/>
      <c r="D548" s="22"/>
    </row>
    <row r="549" ht="15.75" customHeight="1">
      <c r="A549" s="22"/>
      <c r="D549" s="22"/>
    </row>
    <row r="550" ht="15.75" customHeight="1">
      <c r="A550" s="22"/>
      <c r="D550" s="22"/>
    </row>
    <row r="551" ht="15.75" customHeight="1">
      <c r="A551" s="22"/>
      <c r="D551" s="22"/>
    </row>
    <row r="552" ht="15.75" customHeight="1">
      <c r="A552" s="22"/>
      <c r="D552" s="22"/>
    </row>
    <row r="553" ht="15.75" customHeight="1">
      <c r="A553" s="22"/>
      <c r="D553" s="22"/>
    </row>
    <row r="554" ht="15.75" customHeight="1">
      <c r="A554" s="22"/>
      <c r="D554" s="22"/>
    </row>
    <row r="555" ht="15.75" customHeight="1">
      <c r="A555" s="22"/>
      <c r="D555" s="22"/>
    </row>
    <row r="556" ht="15.75" customHeight="1">
      <c r="A556" s="22"/>
      <c r="D556" s="22"/>
    </row>
    <row r="557" ht="15.75" customHeight="1">
      <c r="A557" s="22"/>
      <c r="D557" s="22"/>
    </row>
    <row r="558" ht="15.75" customHeight="1">
      <c r="A558" s="22"/>
      <c r="D558" s="22"/>
    </row>
    <row r="559" ht="15.75" customHeight="1">
      <c r="A559" s="22"/>
      <c r="D559" s="22"/>
    </row>
    <row r="560" ht="15.75" customHeight="1">
      <c r="A560" s="22"/>
      <c r="D560" s="22"/>
    </row>
    <row r="561" ht="15.75" customHeight="1">
      <c r="A561" s="22"/>
      <c r="D561" s="22"/>
    </row>
    <row r="562" ht="15.75" customHeight="1">
      <c r="A562" s="22"/>
      <c r="D562" s="22"/>
    </row>
    <row r="563" ht="15.75" customHeight="1">
      <c r="A563" s="22"/>
      <c r="D563" s="22"/>
    </row>
    <row r="564" ht="15.75" customHeight="1">
      <c r="A564" s="22"/>
      <c r="D564" s="22"/>
    </row>
    <row r="565" ht="15.75" customHeight="1">
      <c r="A565" s="22"/>
      <c r="D565" s="22"/>
    </row>
    <row r="566" ht="15.75" customHeight="1">
      <c r="A566" s="22"/>
      <c r="D566" s="22"/>
    </row>
    <row r="567" ht="15.75" customHeight="1">
      <c r="A567" s="22"/>
      <c r="D567" s="22"/>
    </row>
    <row r="568" ht="15.75" customHeight="1">
      <c r="A568" s="22"/>
      <c r="D568" s="22"/>
    </row>
    <row r="569" ht="15.75" customHeight="1">
      <c r="A569" s="22"/>
      <c r="D569" s="22"/>
    </row>
    <row r="570" ht="15.75" customHeight="1">
      <c r="A570" s="22"/>
      <c r="D570" s="22"/>
    </row>
    <row r="571" ht="15.75" customHeight="1">
      <c r="A571" s="22"/>
      <c r="D571" s="22"/>
    </row>
    <row r="572" ht="15.75" customHeight="1">
      <c r="A572" s="22"/>
      <c r="D572" s="22"/>
    </row>
    <row r="573" ht="15.75" customHeight="1">
      <c r="A573" s="22"/>
      <c r="D573" s="22"/>
    </row>
    <row r="574" ht="15.75" customHeight="1">
      <c r="A574" s="22"/>
      <c r="D574" s="22"/>
    </row>
    <row r="575" ht="15.75" customHeight="1">
      <c r="A575" s="22"/>
      <c r="D575" s="22"/>
    </row>
    <row r="576" ht="15.75" customHeight="1">
      <c r="A576" s="22"/>
      <c r="D576" s="22"/>
    </row>
    <row r="577" ht="15.75" customHeight="1">
      <c r="A577" s="22"/>
      <c r="D577" s="22"/>
    </row>
    <row r="578" ht="15.75" customHeight="1">
      <c r="A578" s="22"/>
      <c r="D578" s="22"/>
    </row>
    <row r="579" ht="15.75" customHeight="1">
      <c r="A579" s="22"/>
      <c r="D579" s="22"/>
    </row>
    <row r="580" ht="15.75" customHeight="1">
      <c r="A580" s="22"/>
      <c r="D580" s="22"/>
    </row>
    <row r="581" ht="15.75" customHeight="1">
      <c r="A581" s="22"/>
      <c r="D581" s="22"/>
    </row>
    <row r="582" ht="15.75" customHeight="1">
      <c r="A582" s="22"/>
      <c r="D582" s="22"/>
    </row>
    <row r="583" ht="15.75" customHeight="1">
      <c r="A583" s="22"/>
      <c r="D583" s="22"/>
    </row>
    <row r="584" ht="15.75" customHeight="1">
      <c r="A584" s="22"/>
      <c r="D584" s="22"/>
    </row>
    <row r="585" ht="15.75" customHeight="1">
      <c r="A585" s="22"/>
      <c r="D585" s="22"/>
    </row>
    <row r="586" ht="15.75" customHeight="1">
      <c r="A586" s="22"/>
      <c r="D586" s="22"/>
    </row>
    <row r="587" ht="15.75" customHeight="1">
      <c r="A587" s="22"/>
      <c r="D587" s="22"/>
    </row>
    <row r="588" ht="15.75" customHeight="1">
      <c r="A588" s="22"/>
      <c r="D588" s="22"/>
    </row>
    <row r="589" ht="15.75" customHeight="1">
      <c r="A589" s="22"/>
      <c r="D589" s="22"/>
    </row>
    <row r="590" ht="15.75" customHeight="1">
      <c r="A590" s="22"/>
      <c r="D590" s="22"/>
    </row>
    <row r="591" ht="15.75" customHeight="1">
      <c r="A591" s="22"/>
      <c r="D591" s="22"/>
    </row>
    <row r="592" ht="15.75" customHeight="1">
      <c r="A592" s="22"/>
      <c r="D592" s="22"/>
    </row>
    <row r="593" ht="15.75" customHeight="1">
      <c r="A593" s="22"/>
      <c r="D593" s="22"/>
    </row>
    <row r="594" ht="15.75" customHeight="1">
      <c r="A594" s="22"/>
      <c r="D594" s="22"/>
    </row>
    <row r="595" ht="15.75" customHeight="1">
      <c r="A595" s="22"/>
      <c r="D595" s="22"/>
    </row>
    <row r="596" ht="15.75" customHeight="1">
      <c r="A596" s="22"/>
      <c r="D596" s="22"/>
    </row>
    <row r="597" ht="15.75" customHeight="1">
      <c r="A597" s="22"/>
      <c r="D597" s="22"/>
    </row>
    <row r="598" ht="15.75" customHeight="1">
      <c r="A598" s="22"/>
      <c r="D598" s="22"/>
    </row>
    <row r="599" ht="15.75" customHeight="1">
      <c r="A599" s="22"/>
      <c r="D599" s="22"/>
    </row>
    <row r="600" ht="15.75" customHeight="1">
      <c r="A600" s="22"/>
      <c r="D600" s="22"/>
    </row>
    <row r="601" ht="15.75" customHeight="1">
      <c r="A601" s="22"/>
      <c r="D601" s="22"/>
    </row>
    <row r="602" ht="15.75" customHeight="1">
      <c r="A602" s="22"/>
      <c r="D602" s="22"/>
    </row>
    <row r="603" ht="15.75" customHeight="1">
      <c r="A603" s="22"/>
      <c r="D603" s="22"/>
    </row>
    <row r="604" ht="15.75" customHeight="1">
      <c r="A604" s="22"/>
      <c r="D604" s="22"/>
    </row>
    <row r="605" ht="15.75" customHeight="1">
      <c r="A605" s="22"/>
      <c r="D605" s="22"/>
    </row>
    <row r="606" ht="15.75" customHeight="1">
      <c r="A606" s="22"/>
      <c r="D606" s="22"/>
    </row>
    <row r="607" ht="15.75" customHeight="1">
      <c r="A607" s="22"/>
      <c r="D607" s="22"/>
    </row>
    <row r="608" ht="15.75" customHeight="1">
      <c r="A608" s="22"/>
      <c r="D608" s="22"/>
    </row>
    <row r="609" ht="15.75" customHeight="1">
      <c r="A609" s="22"/>
      <c r="D609" s="22"/>
    </row>
    <row r="610" ht="15.75" customHeight="1">
      <c r="A610" s="22"/>
      <c r="D610" s="22"/>
    </row>
    <row r="611" ht="15.75" customHeight="1">
      <c r="A611" s="22"/>
      <c r="D611" s="22"/>
    </row>
    <row r="612" ht="15.75" customHeight="1">
      <c r="A612" s="22"/>
      <c r="D612" s="22"/>
    </row>
    <row r="613" ht="15.75" customHeight="1">
      <c r="A613" s="22"/>
      <c r="D613" s="22"/>
    </row>
    <row r="614" ht="15.75" customHeight="1">
      <c r="A614" s="22"/>
      <c r="D614" s="22"/>
    </row>
    <row r="615" ht="15.75" customHeight="1">
      <c r="A615" s="22"/>
      <c r="D615" s="22"/>
    </row>
    <row r="616" ht="15.75" customHeight="1">
      <c r="A616" s="22"/>
      <c r="D616" s="22"/>
    </row>
    <row r="617" ht="15.75" customHeight="1">
      <c r="A617" s="22"/>
      <c r="D617" s="22"/>
    </row>
    <row r="618" ht="15.75" customHeight="1">
      <c r="A618" s="22"/>
      <c r="D618" s="22"/>
    </row>
    <row r="619" ht="15.75" customHeight="1">
      <c r="A619" s="22"/>
      <c r="D619" s="22"/>
    </row>
    <row r="620" ht="15.75" customHeight="1">
      <c r="A620" s="22"/>
      <c r="D620" s="22"/>
    </row>
    <row r="621" ht="15.75" customHeight="1">
      <c r="A621" s="22"/>
      <c r="D621" s="22"/>
    </row>
    <row r="622" ht="15.75" customHeight="1">
      <c r="A622" s="22"/>
      <c r="D622" s="22"/>
    </row>
    <row r="623" ht="15.75" customHeight="1">
      <c r="A623" s="22"/>
      <c r="D623" s="22"/>
    </row>
    <row r="624" ht="15.75" customHeight="1">
      <c r="A624" s="22"/>
      <c r="D624" s="22"/>
    </row>
    <row r="625" ht="15.75" customHeight="1">
      <c r="A625" s="22"/>
      <c r="D625" s="22"/>
    </row>
    <row r="626" ht="15.75" customHeight="1">
      <c r="A626" s="22"/>
      <c r="D626" s="22"/>
    </row>
    <row r="627" ht="15.75" customHeight="1">
      <c r="A627" s="22"/>
      <c r="D627" s="22"/>
    </row>
    <row r="628" ht="15.75" customHeight="1">
      <c r="A628" s="22"/>
      <c r="D628" s="22"/>
    </row>
    <row r="629" ht="15.75" customHeight="1">
      <c r="A629" s="22"/>
      <c r="D629" s="22"/>
    </row>
    <row r="630" ht="15.75" customHeight="1">
      <c r="A630" s="22"/>
      <c r="D630" s="22"/>
    </row>
    <row r="631" ht="15.75" customHeight="1">
      <c r="A631" s="22"/>
      <c r="D631" s="22"/>
    </row>
    <row r="632" ht="15.75" customHeight="1">
      <c r="A632" s="22"/>
      <c r="D632" s="22"/>
    </row>
    <row r="633" ht="15.75" customHeight="1">
      <c r="A633" s="22"/>
      <c r="D633" s="22"/>
    </row>
    <row r="634" ht="15.75" customHeight="1">
      <c r="A634" s="22"/>
      <c r="D634" s="22"/>
    </row>
    <row r="635" ht="15.75" customHeight="1">
      <c r="A635" s="22"/>
      <c r="D635" s="22"/>
    </row>
    <row r="636" ht="15.75" customHeight="1">
      <c r="A636" s="22"/>
      <c r="D636" s="22"/>
    </row>
    <row r="637" ht="15.75" customHeight="1">
      <c r="A637" s="22"/>
      <c r="D637" s="22"/>
    </row>
    <row r="638" ht="15.75" customHeight="1">
      <c r="A638" s="22"/>
      <c r="D638" s="22"/>
    </row>
    <row r="639" ht="15.75" customHeight="1">
      <c r="A639" s="22"/>
      <c r="D639" s="22"/>
    </row>
    <row r="640" ht="15.75" customHeight="1">
      <c r="A640" s="22"/>
      <c r="D640" s="22"/>
    </row>
    <row r="641" ht="15.75" customHeight="1">
      <c r="A641" s="22"/>
      <c r="D641" s="22"/>
    </row>
    <row r="642" ht="15.75" customHeight="1">
      <c r="A642" s="22"/>
      <c r="D642" s="22"/>
    </row>
    <row r="643" ht="15.75" customHeight="1">
      <c r="A643" s="22"/>
      <c r="D643" s="22"/>
    </row>
    <row r="644" ht="15.75" customHeight="1">
      <c r="A644" s="22"/>
      <c r="D644" s="22"/>
    </row>
    <row r="645" ht="15.75" customHeight="1">
      <c r="A645" s="22"/>
      <c r="D645" s="22"/>
    </row>
    <row r="646" ht="15.75" customHeight="1">
      <c r="A646" s="22"/>
      <c r="D646" s="22"/>
    </row>
    <row r="647" ht="15.75" customHeight="1">
      <c r="A647" s="22"/>
      <c r="D647" s="22"/>
    </row>
    <row r="648" ht="15.75" customHeight="1">
      <c r="A648" s="22"/>
      <c r="D648" s="22"/>
    </row>
    <row r="649" ht="15.75" customHeight="1">
      <c r="A649" s="22"/>
      <c r="D649" s="22"/>
    </row>
    <row r="650" ht="15.75" customHeight="1">
      <c r="A650" s="22"/>
      <c r="D650" s="22"/>
    </row>
    <row r="651" ht="15.75" customHeight="1">
      <c r="A651" s="22"/>
      <c r="D651" s="22"/>
    </row>
    <row r="652" ht="15.75" customHeight="1">
      <c r="A652" s="22"/>
      <c r="D652" s="22"/>
    </row>
    <row r="653" ht="15.75" customHeight="1">
      <c r="A653" s="22"/>
      <c r="D653" s="22"/>
    </row>
    <row r="654" ht="15.75" customHeight="1">
      <c r="A654" s="22"/>
      <c r="D654" s="22"/>
    </row>
    <row r="655" ht="15.75" customHeight="1">
      <c r="A655" s="22"/>
      <c r="D655" s="22"/>
    </row>
    <row r="656" ht="15.75" customHeight="1">
      <c r="A656" s="22"/>
      <c r="D656" s="22"/>
    </row>
    <row r="657" ht="15.75" customHeight="1">
      <c r="A657" s="22"/>
      <c r="D657" s="22"/>
    </row>
    <row r="658" ht="15.75" customHeight="1">
      <c r="A658" s="22"/>
      <c r="D658" s="22"/>
    </row>
    <row r="659" ht="15.75" customHeight="1">
      <c r="A659" s="22"/>
      <c r="D659" s="22"/>
    </row>
    <row r="660" ht="15.75" customHeight="1">
      <c r="A660" s="22"/>
      <c r="D660" s="22"/>
    </row>
    <row r="661" ht="15.75" customHeight="1">
      <c r="A661" s="22"/>
      <c r="D661" s="22"/>
    </row>
    <row r="662" ht="15.75" customHeight="1">
      <c r="A662" s="22"/>
      <c r="D662" s="22"/>
    </row>
    <row r="663" ht="15.75" customHeight="1">
      <c r="A663" s="22"/>
      <c r="D663" s="22"/>
    </row>
    <row r="664" ht="15.75" customHeight="1">
      <c r="A664" s="22"/>
      <c r="D664" s="22"/>
    </row>
    <row r="665" ht="15.75" customHeight="1">
      <c r="A665" s="22"/>
      <c r="D665" s="22"/>
    </row>
    <row r="666" ht="15.75" customHeight="1">
      <c r="A666" s="22"/>
      <c r="D666" s="22"/>
    </row>
    <row r="667" ht="15.75" customHeight="1">
      <c r="A667" s="22"/>
      <c r="D667" s="22"/>
    </row>
    <row r="668" ht="15.75" customHeight="1">
      <c r="A668" s="22"/>
      <c r="D668" s="22"/>
    </row>
    <row r="669" ht="15.75" customHeight="1">
      <c r="A669" s="22"/>
      <c r="D669" s="22"/>
    </row>
    <row r="670" ht="15.75" customHeight="1">
      <c r="A670" s="22"/>
      <c r="D670" s="22"/>
    </row>
    <row r="671" ht="15.75" customHeight="1">
      <c r="A671" s="22"/>
      <c r="D671" s="22"/>
    </row>
    <row r="672" ht="15.75" customHeight="1">
      <c r="A672" s="22"/>
      <c r="D672" s="22"/>
    </row>
    <row r="673" ht="15.75" customHeight="1">
      <c r="A673" s="22"/>
      <c r="D673" s="22"/>
    </row>
    <row r="674" ht="15.75" customHeight="1">
      <c r="A674" s="22"/>
      <c r="D674" s="22"/>
    </row>
    <row r="675" ht="15.75" customHeight="1">
      <c r="A675" s="22"/>
      <c r="D675" s="22"/>
    </row>
    <row r="676" ht="15.75" customHeight="1">
      <c r="A676" s="22"/>
      <c r="D676" s="22"/>
    </row>
    <row r="677" ht="15.75" customHeight="1">
      <c r="A677" s="22"/>
      <c r="D677" s="22"/>
    </row>
    <row r="678" ht="15.75" customHeight="1">
      <c r="A678" s="22"/>
      <c r="D678" s="22"/>
    </row>
    <row r="679" ht="15.75" customHeight="1">
      <c r="A679" s="22"/>
      <c r="D679" s="22"/>
    </row>
    <row r="680" ht="15.75" customHeight="1">
      <c r="A680" s="22"/>
      <c r="D680" s="22"/>
    </row>
    <row r="681" ht="15.75" customHeight="1">
      <c r="A681" s="22"/>
      <c r="D681" s="22"/>
    </row>
    <row r="682" ht="15.75" customHeight="1">
      <c r="A682" s="22"/>
      <c r="D682" s="22"/>
    </row>
    <row r="683" ht="15.75" customHeight="1">
      <c r="A683" s="22"/>
      <c r="D683" s="22"/>
    </row>
    <row r="684" ht="15.75" customHeight="1">
      <c r="A684" s="22"/>
      <c r="D684" s="22"/>
    </row>
    <row r="685" ht="15.75" customHeight="1">
      <c r="A685" s="22"/>
      <c r="D685" s="22"/>
    </row>
    <row r="686" ht="15.75" customHeight="1">
      <c r="A686" s="22"/>
      <c r="D686" s="22"/>
    </row>
    <row r="687" ht="15.75" customHeight="1">
      <c r="A687" s="22"/>
      <c r="D687" s="22"/>
    </row>
    <row r="688" ht="15.75" customHeight="1">
      <c r="A688" s="22"/>
      <c r="D688" s="22"/>
    </row>
    <row r="689" ht="15.75" customHeight="1">
      <c r="A689" s="22"/>
      <c r="D689" s="22"/>
    </row>
    <row r="690" ht="15.75" customHeight="1">
      <c r="A690" s="22"/>
      <c r="D690" s="22"/>
    </row>
    <row r="691" ht="15.75" customHeight="1">
      <c r="A691" s="22"/>
      <c r="D691" s="22"/>
    </row>
    <row r="692" ht="15.75" customHeight="1">
      <c r="A692" s="22"/>
      <c r="D692" s="22"/>
    </row>
    <row r="693" ht="15.75" customHeight="1">
      <c r="A693" s="22"/>
      <c r="D693" s="22"/>
    </row>
    <row r="694" ht="15.75" customHeight="1">
      <c r="A694" s="22"/>
      <c r="D694" s="22"/>
    </row>
    <row r="695" ht="15.75" customHeight="1">
      <c r="A695" s="22"/>
      <c r="D695" s="22"/>
    </row>
    <row r="696" ht="15.75" customHeight="1">
      <c r="A696" s="22"/>
      <c r="D696" s="22"/>
    </row>
    <row r="697" ht="15.75" customHeight="1">
      <c r="A697" s="22"/>
      <c r="D697" s="22"/>
    </row>
    <row r="698" ht="15.75" customHeight="1">
      <c r="A698" s="22"/>
      <c r="D698" s="22"/>
    </row>
    <row r="699" ht="15.75" customHeight="1">
      <c r="A699" s="22"/>
      <c r="D699" s="22"/>
    </row>
    <row r="700" ht="15.75" customHeight="1">
      <c r="A700" s="22"/>
      <c r="D700" s="22"/>
    </row>
    <row r="701" ht="15.75" customHeight="1">
      <c r="A701" s="22"/>
      <c r="D701" s="22"/>
    </row>
    <row r="702" ht="15.75" customHeight="1">
      <c r="A702" s="22"/>
      <c r="D702" s="22"/>
    </row>
    <row r="703" ht="15.75" customHeight="1">
      <c r="A703" s="22"/>
      <c r="D703" s="22"/>
    </row>
    <row r="704" ht="15.75" customHeight="1">
      <c r="A704" s="22"/>
      <c r="D704" s="22"/>
    </row>
    <row r="705" ht="15.75" customHeight="1">
      <c r="A705" s="22"/>
      <c r="D705" s="22"/>
    </row>
    <row r="706" ht="15.75" customHeight="1">
      <c r="A706" s="22"/>
      <c r="D706" s="22"/>
    </row>
    <row r="707" ht="15.75" customHeight="1">
      <c r="A707" s="22"/>
      <c r="D707" s="22"/>
    </row>
    <row r="708" ht="15.75" customHeight="1">
      <c r="A708" s="22"/>
      <c r="D708" s="22"/>
    </row>
    <row r="709" ht="15.75" customHeight="1">
      <c r="A709" s="22"/>
      <c r="D709" s="22"/>
    </row>
    <row r="710" ht="15.75" customHeight="1">
      <c r="A710" s="22"/>
      <c r="D710" s="22"/>
    </row>
    <row r="711" ht="15.75" customHeight="1">
      <c r="A711" s="22"/>
      <c r="D711" s="22"/>
    </row>
    <row r="712" ht="15.75" customHeight="1">
      <c r="A712" s="22"/>
      <c r="D712" s="22"/>
    </row>
    <row r="713" ht="15.75" customHeight="1">
      <c r="A713" s="22"/>
      <c r="D713" s="22"/>
    </row>
    <row r="714" ht="15.75" customHeight="1">
      <c r="A714" s="22"/>
      <c r="D714" s="22"/>
    </row>
    <row r="715" ht="15.75" customHeight="1">
      <c r="A715" s="22"/>
      <c r="D715" s="22"/>
    </row>
    <row r="716" ht="15.75" customHeight="1">
      <c r="A716" s="22"/>
      <c r="D716" s="22"/>
    </row>
    <row r="717" ht="15.75" customHeight="1">
      <c r="A717" s="22"/>
      <c r="D717" s="22"/>
    </row>
    <row r="718" ht="15.75" customHeight="1">
      <c r="A718" s="22"/>
      <c r="D718" s="22"/>
    </row>
    <row r="719" ht="15.75" customHeight="1">
      <c r="A719" s="22"/>
      <c r="D719" s="22"/>
    </row>
    <row r="720" ht="15.75" customHeight="1">
      <c r="A720" s="22"/>
      <c r="D720" s="22"/>
    </row>
    <row r="721" ht="15.75" customHeight="1">
      <c r="A721" s="22"/>
      <c r="D721" s="22"/>
    </row>
    <row r="722" ht="15.75" customHeight="1">
      <c r="A722" s="22"/>
      <c r="D722" s="22"/>
    </row>
    <row r="723" ht="15.75" customHeight="1">
      <c r="A723" s="22"/>
      <c r="D723" s="22"/>
    </row>
    <row r="724" ht="15.75" customHeight="1">
      <c r="A724" s="22"/>
      <c r="D724" s="22"/>
    </row>
    <row r="725" ht="15.75" customHeight="1">
      <c r="A725" s="22"/>
      <c r="D725" s="22"/>
    </row>
    <row r="726" ht="15.75" customHeight="1">
      <c r="A726" s="22"/>
      <c r="D726" s="22"/>
    </row>
    <row r="727" ht="15.75" customHeight="1">
      <c r="A727" s="22"/>
      <c r="D727" s="22"/>
    </row>
    <row r="728" ht="15.75" customHeight="1">
      <c r="A728" s="22"/>
      <c r="D728" s="22"/>
    </row>
    <row r="729" ht="15.75" customHeight="1">
      <c r="A729" s="22"/>
      <c r="D729" s="22"/>
    </row>
    <row r="730" ht="15.75" customHeight="1">
      <c r="A730" s="22"/>
      <c r="D730" s="22"/>
    </row>
    <row r="731" ht="15.75" customHeight="1">
      <c r="A731" s="22"/>
      <c r="D731" s="22"/>
    </row>
    <row r="732" ht="15.75" customHeight="1">
      <c r="A732" s="22"/>
      <c r="D732" s="22"/>
    </row>
    <row r="733" ht="15.75" customHeight="1">
      <c r="A733" s="22"/>
      <c r="D733" s="22"/>
    </row>
    <row r="734" ht="15.75" customHeight="1">
      <c r="A734" s="22"/>
      <c r="D734" s="22"/>
    </row>
    <row r="735" ht="15.75" customHeight="1">
      <c r="A735" s="22"/>
      <c r="D735" s="22"/>
    </row>
    <row r="736" ht="15.75" customHeight="1">
      <c r="A736" s="22"/>
      <c r="D736" s="22"/>
    </row>
    <row r="737" ht="15.75" customHeight="1">
      <c r="A737" s="22"/>
      <c r="D737" s="22"/>
    </row>
    <row r="738" ht="15.75" customHeight="1">
      <c r="A738" s="22"/>
      <c r="D738" s="22"/>
    </row>
    <row r="739" ht="15.75" customHeight="1">
      <c r="A739" s="22"/>
      <c r="D739" s="22"/>
    </row>
    <row r="740" ht="15.75" customHeight="1">
      <c r="A740" s="22"/>
      <c r="D740" s="22"/>
    </row>
    <row r="741" ht="15.75" customHeight="1">
      <c r="A741" s="22"/>
      <c r="D741" s="22"/>
    </row>
    <row r="742" ht="15.75" customHeight="1">
      <c r="A742" s="22"/>
      <c r="D742" s="22"/>
    </row>
    <row r="743" ht="15.75" customHeight="1">
      <c r="A743" s="22"/>
      <c r="D743" s="22"/>
    </row>
    <row r="744" ht="15.75" customHeight="1">
      <c r="A744" s="22"/>
      <c r="D744" s="22"/>
    </row>
    <row r="745" ht="15.75" customHeight="1">
      <c r="A745" s="22"/>
      <c r="D745" s="22"/>
    </row>
    <row r="746" ht="15.75" customHeight="1">
      <c r="A746" s="22"/>
      <c r="D746" s="22"/>
    </row>
    <row r="747" ht="15.75" customHeight="1">
      <c r="A747" s="22"/>
      <c r="D747" s="22"/>
    </row>
    <row r="748" ht="15.75" customHeight="1">
      <c r="A748" s="22"/>
      <c r="D748" s="22"/>
    </row>
    <row r="749" ht="15.75" customHeight="1">
      <c r="A749" s="22"/>
      <c r="D749" s="22"/>
    </row>
    <row r="750" ht="15.75" customHeight="1">
      <c r="A750" s="22"/>
      <c r="D750" s="22"/>
    </row>
    <row r="751" ht="15.75" customHeight="1">
      <c r="A751" s="22"/>
      <c r="D751" s="22"/>
    </row>
    <row r="752" ht="15.75" customHeight="1">
      <c r="A752" s="22"/>
      <c r="D752" s="22"/>
    </row>
    <row r="753" ht="15.75" customHeight="1">
      <c r="A753" s="22"/>
      <c r="D753" s="22"/>
    </row>
    <row r="754" ht="15.75" customHeight="1">
      <c r="A754" s="22"/>
      <c r="D754" s="22"/>
    </row>
    <row r="755" ht="15.75" customHeight="1">
      <c r="A755" s="22"/>
      <c r="D755" s="22"/>
    </row>
    <row r="756" ht="15.75" customHeight="1">
      <c r="A756" s="22"/>
      <c r="D756" s="22"/>
    </row>
    <row r="757" ht="15.75" customHeight="1">
      <c r="A757" s="22"/>
      <c r="D757" s="22"/>
    </row>
    <row r="758" ht="15.75" customHeight="1">
      <c r="A758" s="22"/>
      <c r="D758" s="22"/>
    </row>
    <row r="759" ht="15.75" customHeight="1">
      <c r="A759" s="22"/>
      <c r="D759" s="22"/>
    </row>
    <row r="760" ht="15.75" customHeight="1">
      <c r="A760" s="22"/>
      <c r="D760" s="22"/>
    </row>
    <row r="761" ht="15.75" customHeight="1">
      <c r="A761" s="22"/>
      <c r="D761" s="22"/>
    </row>
    <row r="762" ht="15.75" customHeight="1">
      <c r="A762" s="22"/>
      <c r="D762" s="22"/>
    </row>
    <row r="763" ht="15.75" customHeight="1">
      <c r="A763" s="22"/>
      <c r="D763" s="22"/>
    </row>
    <row r="764" ht="15.75" customHeight="1">
      <c r="A764" s="22"/>
      <c r="D764" s="22"/>
    </row>
    <row r="765" ht="15.75" customHeight="1">
      <c r="A765" s="22"/>
      <c r="D765" s="22"/>
    </row>
    <row r="766" ht="15.75" customHeight="1">
      <c r="A766" s="22"/>
      <c r="D766" s="22"/>
    </row>
    <row r="767" ht="15.75" customHeight="1">
      <c r="A767" s="22"/>
      <c r="D767" s="22"/>
    </row>
    <row r="768" ht="15.75" customHeight="1">
      <c r="A768" s="22"/>
      <c r="D768" s="22"/>
    </row>
    <row r="769" ht="15.75" customHeight="1">
      <c r="A769" s="22"/>
      <c r="D769" s="22"/>
    </row>
    <row r="770" ht="15.75" customHeight="1">
      <c r="A770" s="22"/>
      <c r="D770" s="22"/>
    </row>
    <row r="771" ht="15.75" customHeight="1">
      <c r="A771" s="22"/>
      <c r="D771" s="22"/>
    </row>
    <row r="772" ht="15.75" customHeight="1">
      <c r="A772" s="22"/>
      <c r="D772" s="22"/>
    </row>
    <row r="773" ht="15.75" customHeight="1">
      <c r="A773" s="22"/>
      <c r="D773" s="22"/>
    </row>
    <row r="774" ht="15.75" customHeight="1">
      <c r="A774" s="22"/>
      <c r="D774" s="22"/>
    </row>
    <row r="775" ht="15.75" customHeight="1">
      <c r="A775" s="22"/>
      <c r="D775" s="22"/>
    </row>
    <row r="776" ht="15.75" customHeight="1">
      <c r="A776" s="22"/>
      <c r="D776" s="22"/>
    </row>
    <row r="777" ht="15.75" customHeight="1">
      <c r="A777" s="22"/>
      <c r="D777" s="22"/>
    </row>
    <row r="778" ht="15.75" customHeight="1">
      <c r="A778" s="22"/>
      <c r="D778" s="22"/>
    </row>
    <row r="779" ht="15.75" customHeight="1">
      <c r="A779" s="22"/>
      <c r="D779" s="22"/>
    </row>
    <row r="780" ht="15.75" customHeight="1">
      <c r="A780" s="22"/>
      <c r="D780" s="22"/>
    </row>
    <row r="781" ht="15.75" customHeight="1">
      <c r="A781" s="22"/>
      <c r="D781" s="22"/>
    </row>
    <row r="782" ht="15.75" customHeight="1">
      <c r="A782" s="22"/>
      <c r="D782" s="22"/>
    </row>
    <row r="783" ht="15.75" customHeight="1">
      <c r="A783" s="22"/>
      <c r="D783" s="22"/>
    </row>
    <row r="784" ht="15.75" customHeight="1">
      <c r="A784" s="22"/>
      <c r="D784" s="22"/>
    </row>
    <row r="785" ht="15.75" customHeight="1">
      <c r="A785" s="22"/>
      <c r="D785" s="22"/>
    </row>
    <row r="786" ht="15.75" customHeight="1">
      <c r="A786" s="22"/>
      <c r="D786" s="22"/>
    </row>
    <row r="787" ht="15.75" customHeight="1">
      <c r="A787" s="22"/>
      <c r="D787" s="22"/>
    </row>
    <row r="788" ht="15.75" customHeight="1">
      <c r="A788" s="22"/>
      <c r="D788" s="22"/>
    </row>
    <row r="789" ht="15.75" customHeight="1">
      <c r="A789" s="22"/>
      <c r="D789" s="22"/>
    </row>
    <row r="790" ht="15.75" customHeight="1">
      <c r="A790" s="22"/>
      <c r="D790" s="22"/>
    </row>
    <row r="791" ht="15.75" customHeight="1">
      <c r="A791" s="22"/>
      <c r="D791" s="22"/>
    </row>
    <row r="792" ht="15.75" customHeight="1">
      <c r="A792" s="22"/>
      <c r="D792" s="22"/>
    </row>
    <row r="793" ht="15.75" customHeight="1">
      <c r="A793" s="22"/>
      <c r="D793" s="22"/>
    </row>
    <row r="794" ht="15.75" customHeight="1">
      <c r="A794" s="22"/>
      <c r="D794" s="22"/>
    </row>
    <row r="795" ht="15.75" customHeight="1">
      <c r="A795" s="22"/>
      <c r="D795" s="22"/>
    </row>
    <row r="796" ht="15.75" customHeight="1">
      <c r="A796" s="22"/>
      <c r="D796" s="22"/>
    </row>
    <row r="797" ht="15.75" customHeight="1">
      <c r="A797" s="22"/>
      <c r="D797" s="22"/>
    </row>
    <row r="798" ht="15.75" customHeight="1">
      <c r="A798" s="22"/>
      <c r="D798" s="22"/>
    </row>
    <row r="799" ht="15.75" customHeight="1">
      <c r="A799" s="22"/>
      <c r="D799" s="22"/>
    </row>
    <row r="800" ht="15.75" customHeight="1">
      <c r="A800" s="22"/>
      <c r="D800" s="22"/>
    </row>
    <row r="801" ht="15.75" customHeight="1">
      <c r="A801" s="22"/>
      <c r="D801" s="22"/>
    </row>
    <row r="802" ht="15.75" customHeight="1">
      <c r="A802" s="22"/>
      <c r="D802" s="22"/>
    </row>
    <row r="803" ht="15.75" customHeight="1">
      <c r="A803" s="22"/>
      <c r="D803" s="22"/>
    </row>
    <row r="804" ht="15.75" customHeight="1">
      <c r="A804" s="22"/>
      <c r="D804" s="22"/>
    </row>
    <row r="805" ht="15.75" customHeight="1">
      <c r="A805" s="22"/>
      <c r="D805" s="22"/>
    </row>
    <row r="806" ht="15.75" customHeight="1">
      <c r="A806" s="22"/>
      <c r="D806" s="22"/>
    </row>
    <row r="807" ht="15.75" customHeight="1">
      <c r="A807" s="22"/>
      <c r="D807" s="22"/>
    </row>
    <row r="808" ht="15.75" customHeight="1">
      <c r="A808" s="22"/>
      <c r="D808" s="22"/>
    </row>
    <row r="809" ht="15.75" customHeight="1">
      <c r="A809" s="22"/>
      <c r="D809" s="22"/>
    </row>
    <row r="810" ht="15.75" customHeight="1">
      <c r="A810" s="22"/>
      <c r="D810" s="22"/>
    </row>
    <row r="811" ht="15.75" customHeight="1">
      <c r="A811" s="22"/>
      <c r="D811" s="22"/>
    </row>
    <row r="812" ht="15.75" customHeight="1">
      <c r="A812" s="22"/>
      <c r="D812" s="22"/>
    </row>
    <row r="813" ht="15.75" customHeight="1">
      <c r="A813" s="22"/>
      <c r="D813" s="22"/>
    </row>
    <row r="814" ht="15.75" customHeight="1">
      <c r="A814" s="22"/>
      <c r="D814" s="22"/>
    </row>
    <row r="815" ht="15.75" customHeight="1">
      <c r="A815" s="22"/>
      <c r="D815" s="22"/>
    </row>
    <row r="816" ht="15.75" customHeight="1">
      <c r="A816" s="22"/>
      <c r="D816" s="22"/>
    </row>
    <row r="817" ht="15.75" customHeight="1">
      <c r="A817" s="22"/>
      <c r="D817" s="22"/>
    </row>
    <row r="818" ht="15.75" customHeight="1">
      <c r="A818" s="22"/>
      <c r="D818" s="22"/>
    </row>
    <row r="819" ht="15.75" customHeight="1">
      <c r="A819" s="22"/>
      <c r="D819" s="22"/>
    </row>
    <row r="820" ht="15.75" customHeight="1">
      <c r="A820" s="22"/>
      <c r="D820" s="22"/>
    </row>
    <row r="821" ht="15.75" customHeight="1">
      <c r="A821" s="22"/>
      <c r="D821" s="22"/>
    </row>
    <row r="822" ht="15.75" customHeight="1">
      <c r="A822" s="22"/>
      <c r="D822" s="22"/>
    </row>
    <row r="823" ht="15.75" customHeight="1">
      <c r="A823" s="22"/>
      <c r="D823" s="22"/>
    </row>
    <row r="824" ht="15.75" customHeight="1">
      <c r="A824" s="22"/>
      <c r="D824" s="22"/>
    </row>
    <row r="825" ht="15.75" customHeight="1">
      <c r="A825" s="22"/>
      <c r="D825" s="22"/>
    </row>
    <row r="826" ht="15.75" customHeight="1">
      <c r="A826" s="22"/>
      <c r="D826" s="22"/>
    </row>
    <row r="827" ht="15.75" customHeight="1">
      <c r="A827" s="22"/>
      <c r="D827" s="22"/>
    </row>
    <row r="828" ht="15.75" customHeight="1">
      <c r="A828" s="22"/>
      <c r="D828" s="22"/>
    </row>
    <row r="829" ht="15.75" customHeight="1">
      <c r="A829" s="22"/>
      <c r="D829" s="22"/>
    </row>
    <row r="830" ht="15.75" customHeight="1">
      <c r="A830" s="22"/>
      <c r="D830" s="22"/>
    </row>
    <row r="831" ht="15.75" customHeight="1">
      <c r="A831" s="22"/>
      <c r="D831" s="22"/>
    </row>
    <row r="832" ht="15.75" customHeight="1">
      <c r="A832" s="22"/>
      <c r="D832" s="22"/>
    </row>
    <row r="833" ht="15.75" customHeight="1">
      <c r="A833" s="22"/>
      <c r="D833" s="22"/>
    </row>
    <row r="834" ht="15.75" customHeight="1">
      <c r="A834" s="22"/>
      <c r="D834" s="22"/>
    </row>
    <row r="835" ht="15.75" customHeight="1">
      <c r="A835" s="22"/>
      <c r="D835" s="22"/>
    </row>
    <row r="836" ht="15.75" customHeight="1">
      <c r="A836" s="22"/>
      <c r="D836" s="22"/>
    </row>
    <row r="837" ht="15.75" customHeight="1">
      <c r="A837" s="22"/>
      <c r="D837" s="22"/>
    </row>
    <row r="838" ht="15.75" customHeight="1">
      <c r="A838" s="22"/>
      <c r="D838" s="22"/>
    </row>
    <row r="839" ht="15.75" customHeight="1">
      <c r="A839" s="22"/>
      <c r="D839" s="22"/>
    </row>
    <row r="840" ht="15.75" customHeight="1">
      <c r="A840" s="22"/>
      <c r="D840" s="22"/>
    </row>
    <row r="841" ht="15.75" customHeight="1">
      <c r="A841" s="22"/>
      <c r="D841" s="22"/>
    </row>
    <row r="842" ht="15.75" customHeight="1">
      <c r="A842" s="22"/>
      <c r="D842" s="22"/>
    </row>
    <row r="843" ht="15.75" customHeight="1">
      <c r="A843" s="22"/>
      <c r="D843" s="22"/>
    </row>
    <row r="844" ht="15.75" customHeight="1">
      <c r="A844" s="22"/>
      <c r="D844" s="22"/>
    </row>
    <row r="845" ht="15.75" customHeight="1">
      <c r="A845" s="22"/>
      <c r="D845" s="22"/>
    </row>
    <row r="846" ht="15.75" customHeight="1">
      <c r="A846" s="22"/>
      <c r="D846" s="22"/>
    </row>
    <row r="847" ht="15.75" customHeight="1">
      <c r="A847" s="22"/>
      <c r="D847" s="22"/>
    </row>
    <row r="848" ht="15.75" customHeight="1">
      <c r="A848" s="22"/>
      <c r="D848" s="22"/>
    </row>
    <row r="849" ht="15.75" customHeight="1">
      <c r="A849" s="22"/>
      <c r="D849" s="22"/>
    </row>
    <row r="850" ht="15.75" customHeight="1">
      <c r="A850" s="22"/>
      <c r="D850" s="22"/>
    </row>
    <row r="851" ht="15.75" customHeight="1">
      <c r="A851" s="22"/>
      <c r="D851" s="22"/>
    </row>
    <row r="852" ht="15.75" customHeight="1">
      <c r="A852" s="22"/>
      <c r="D852" s="22"/>
    </row>
    <row r="853" ht="15.75" customHeight="1">
      <c r="A853" s="22"/>
      <c r="D853" s="22"/>
    </row>
    <row r="854" ht="15.75" customHeight="1">
      <c r="A854" s="22"/>
      <c r="D854" s="22"/>
    </row>
    <row r="855" ht="15.75" customHeight="1">
      <c r="A855" s="22"/>
      <c r="D855" s="22"/>
    </row>
    <row r="856" ht="15.75" customHeight="1">
      <c r="A856" s="22"/>
      <c r="D856" s="22"/>
    </row>
    <row r="857" ht="15.75" customHeight="1">
      <c r="A857" s="22"/>
      <c r="D857" s="22"/>
    </row>
    <row r="858" ht="15.75" customHeight="1">
      <c r="A858" s="22"/>
      <c r="D858" s="22"/>
    </row>
    <row r="859" ht="15.75" customHeight="1">
      <c r="A859" s="22"/>
      <c r="D859" s="22"/>
    </row>
    <row r="860" ht="15.75" customHeight="1">
      <c r="A860" s="22"/>
      <c r="D860" s="22"/>
    </row>
    <row r="861" ht="15.75" customHeight="1">
      <c r="A861" s="22"/>
      <c r="D861" s="22"/>
    </row>
    <row r="862" ht="15.75" customHeight="1">
      <c r="A862" s="22"/>
      <c r="D862" s="22"/>
    </row>
    <row r="863" ht="15.75" customHeight="1">
      <c r="A863" s="22"/>
      <c r="D863" s="22"/>
    </row>
    <row r="864" ht="15.75" customHeight="1">
      <c r="A864" s="22"/>
      <c r="D864" s="22"/>
    </row>
    <row r="865" ht="15.75" customHeight="1">
      <c r="A865" s="22"/>
      <c r="D865" s="22"/>
    </row>
    <row r="866" ht="15.75" customHeight="1">
      <c r="A866" s="22"/>
      <c r="D866" s="22"/>
    </row>
    <row r="867" ht="15.75" customHeight="1">
      <c r="A867" s="22"/>
      <c r="D867" s="22"/>
    </row>
    <row r="868" ht="15.75" customHeight="1">
      <c r="A868" s="22"/>
      <c r="D868" s="22"/>
    </row>
    <row r="869" ht="15.75" customHeight="1">
      <c r="A869" s="22"/>
      <c r="D869" s="22"/>
    </row>
    <row r="870" ht="15.75" customHeight="1">
      <c r="A870" s="22"/>
      <c r="D870" s="22"/>
    </row>
    <row r="871" ht="15.75" customHeight="1">
      <c r="A871" s="22"/>
      <c r="D871" s="22"/>
    </row>
    <row r="872" ht="15.75" customHeight="1">
      <c r="A872" s="22"/>
      <c r="D872" s="22"/>
    </row>
    <row r="873" ht="15.75" customHeight="1">
      <c r="A873" s="22"/>
      <c r="D873" s="22"/>
    </row>
    <row r="874" ht="15.75" customHeight="1">
      <c r="A874" s="22"/>
      <c r="D874" s="22"/>
    </row>
    <row r="875" ht="15.75" customHeight="1">
      <c r="A875" s="22"/>
      <c r="D875" s="22"/>
    </row>
    <row r="876" ht="15.75" customHeight="1">
      <c r="A876" s="22"/>
      <c r="D876" s="22"/>
    </row>
    <row r="877" ht="15.75" customHeight="1">
      <c r="A877" s="22"/>
      <c r="D877" s="22"/>
    </row>
    <row r="878" ht="15.75" customHeight="1">
      <c r="A878" s="22"/>
      <c r="D878" s="22"/>
    </row>
    <row r="879" ht="15.75" customHeight="1">
      <c r="A879" s="22"/>
      <c r="D879" s="22"/>
    </row>
    <row r="880" ht="15.75" customHeight="1">
      <c r="A880" s="22"/>
      <c r="D880" s="22"/>
    </row>
    <row r="881" ht="15.75" customHeight="1">
      <c r="A881" s="22"/>
      <c r="D881" s="22"/>
    </row>
    <row r="882" ht="15.75" customHeight="1">
      <c r="A882" s="22"/>
      <c r="D882" s="22"/>
    </row>
    <row r="883" ht="15.75" customHeight="1">
      <c r="A883" s="22"/>
      <c r="D883" s="22"/>
    </row>
    <row r="884" ht="15.75" customHeight="1">
      <c r="A884" s="22"/>
      <c r="D884" s="22"/>
    </row>
    <row r="885" ht="15.75" customHeight="1">
      <c r="A885" s="22"/>
      <c r="D885" s="22"/>
    </row>
    <row r="886" ht="15.75" customHeight="1">
      <c r="A886" s="22"/>
      <c r="D886" s="22"/>
    </row>
    <row r="887" ht="15.75" customHeight="1">
      <c r="A887" s="22"/>
      <c r="D887" s="22"/>
    </row>
    <row r="888" ht="15.75" customHeight="1">
      <c r="A888" s="22"/>
      <c r="D888" s="22"/>
    </row>
    <row r="889" ht="15.75" customHeight="1">
      <c r="A889" s="22"/>
      <c r="D889" s="22"/>
    </row>
    <row r="890" ht="15.75" customHeight="1">
      <c r="A890" s="22"/>
      <c r="D890" s="22"/>
    </row>
    <row r="891" ht="15.75" customHeight="1">
      <c r="A891" s="22"/>
      <c r="D891" s="22"/>
    </row>
    <row r="892" ht="15.75" customHeight="1">
      <c r="A892" s="22"/>
      <c r="D892" s="22"/>
    </row>
    <row r="893" ht="15.75" customHeight="1">
      <c r="A893" s="22"/>
      <c r="D893" s="22"/>
    </row>
    <row r="894" ht="15.75" customHeight="1">
      <c r="A894" s="22"/>
      <c r="D894" s="22"/>
    </row>
    <row r="895" ht="15.75" customHeight="1">
      <c r="A895" s="22"/>
      <c r="D895" s="22"/>
    </row>
    <row r="896" ht="15.75" customHeight="1">
      <c r="A896" s="22"/>
      <c r="D896" s="22"/>
    </row>
    <row r="897" ht="15.75" customHeight="1">
      <c r="A897" s="22"/>
      <c r="D897" s="22"/>
    </row>
    <row r="898" ht="15.75" customHeight="1">
      <c r="A898" s="22"/>
      <c r="D898" s="22"/>
    </row>
    <row r="899" ht="15.75" customHeight="1">
      <c r="A899" s="22"/>
      <c r="D899" s="22"/>
    </row>
    <row r="900" ht="15.75" customHeight="1">
      <c r="A900" s="22"/>
      <c r="D900" s="22"/>
    </row>
    <row r="901" ht="15.75" customHeight="1">
      <c r="A901" s="22"/>
      <c r="D901" s="22"/>
    </row>
    <row r="902" ht="15.75" customHeight="1">
      <c r="A902" s="22"/>
      <c r="D902" s="22"/>
    </row>
    <row r="903" ht="15.75" customHeight="1">
      <c r="A903" s="22"/>
      <c r="D903" s="22"/>
    </row>
    <row r="904" ht="15.75" customHeight="1">
      <c r="A904" s="22"/>
      <c r="D904" s="22"/>
    </row>
    <row r="905" ht="15.75" customHeight="1">
      <c r="A905" s="22"/>
      <c r="D905" s="22"/>
    </row>
    <row r="906" ht="15.75" customHeight="1">
      <c r="A906" s="22"/>
      <c r="D906" s="22"/>
    </row>
    <row r="907" ht="15.75" customHeight="1">
      <c r="A907" s="22"/>
      <c r="D907" s="22"/>
    </row>
    <row r="908" ht="15.75" customHeight="1">
      <c r="A908" s="22"/>
      <c r="D908" s="22"/>
    </row>
    <row r="909" ht="15.75" customHeight="1">
      <c r="A909" s="22"/>
      <c r="D909" s="22"/>
    </row>
    <row r="910" ht="15.75" customHeight="1">
      <c r="A910" s="22"/>
      <c r="D910" s="22"/>
    </row>
    <row r="911" ht="15.75" customHeight="1">
      <c r="A911" s="22"/>
      <c r="D911" s="22"/>
    </row>
    <row r="912" ht="15.75" customHeight="1">
      <c r="A912" s="22"/>
      <c r="D912" s="22"/>
    </row>
    <row r="913" ht="15.75" customHeight="1">
      <c r="A913" s="22"/>
      <c r="D913" s="22"/>
    </row>
    <row r="914" ht="15.75" customHeight="1">
      <c r="A914" s="22"/>
      <c r="D914" s="22"/>
    </row>
    <row r="915" ht="15.75" customHeight="1">
      <c r="A915" s="22"/>
      <c r="D915" s="22"/>
    </row>
    <row r="916" ht="15.75" customHeight="1">
      <c r="A916" s="22"/>
      <c r="D916" s="22"/>
    </row>
    <row r="917" ht="15.75" customHeight="1">
      <c r="A917" s="22"/>
      <c r="D917" s="22"/>
    </row>
    <row r="918" ht="15.75" customHeight="1">
      <c r="A918" s="22"/>
      <c r="D918" s="22"/>
    </row>
    <row r="919" ht="15.75" customHeight="1">
      <c r="A919" s="22"/>
      <c r="D919" s="22"/>
    </row>
    <row r="920" ht="15.75" customHeight="1">
      <c r="A920" s="22"/>
      <c r="D920" s="22"/>
    </row>
    <row r="921" ht="15.75" customHeight="1">
      <c r="A921" s="22"/>
      <c r="D921" s="22"/>
    </row>
    <row r="922" ht="15.75" customHeight="1">
      <c r="A922" s="22"/>
      <c r="D922" s="22"/>
    </row>
    <row r="923" ht="15.75" customHeight="1">
      <c r="A923" s="22"/>
      <c r="D923" s="22"/>
    </row>
    <row r="924" ht="15.75" customHeight="1">
      <c r="A924" s="22"/>
      <c r="D924" s="22"/>
    </row>
    <row r="925" ht="15.75" customHeight="1">
      <c r="A925" s="22"/>
      <c r="D925" s="22"/>
    </row>
    <row r="926" ht="15.75" customHeight="1">
      <c r="A926" s="22"/>
      <c r="D926" s="22"/>
    </row>
    <row r="927" ht="15.75" customHeight="1">
      <c r="A927" s="22"/>
      <c r="D927" s="22"/>
    </row>
    <row r="928" ht="15.75" customHeight="1">
      <c r="A928" s="22"/>
      <c r="D928" s="22"/>
    </row>
    <row r="929" ht="15.75" customHeight="1">
      <c r="A929" s="22"/>
      <c r="D929" s="22"/>
    </row>
    <row r="930" ht="15.75" customHeight="1">
      <c r="A930" s="22"/>
      <c r="D930" s="22"/>
    </row>
    <row r="931" ht="15.75" customHeight="1">
      <c r="A931" s="22"/>
      <c r="D931" s="22"/>
    </row>
    <row r="932" ht="15.75" customHeight="1">
      <c r="A932" s="22"/>
      <c r="D932" s="22"/>
    </row>
    <row r="933" ht="15.75" customHeight="1">
      <c r="A933" s="22"/>
      <c r="D933" s="22"/>
    </row>
    <row r="934" ht="15.75" customHeight="1">
      <c r="A934" s="22"/>
      <c r="D934" s="22"/>
    </row>
    <row r="935" ht="15.75" customHeight="1">
      <c r="A935" s="22"/>
      <c r="D935" s="22"/>
    </row>
    <row r="936" ht="15.75" customHeight="1">
      <c r="A936" s="22"/>
      <c r="D936" s="22"/>
    </row>
    <row r="937" ht="15.75" customHeight="1">
      <c r="A937" s="22"/>
      <c r="D937" s="22"/>
    </row>
    <row r="938" ht="15.75" customHeight="1">
      <c r="A938" s="22"/>
      <c r="D938" s="22"/>
    </row>
    <row r="939" ht="15.75" customHeight="1">
      <c r="A939" s="22"/>
      <c r="D939" s="22"/>
    </row>
    <row r="940" ht="15.75" customHeight="1">
      <c r="A940" s="22"/>
      <c r="D940" s="22"/>
    </row>
    <row r="941" ht="15.75" customHeight="1">
      <c r="A941" s="22"/>
      <c r="D941" s="22"/>
    </row>
    <row r="942" ht="15.75" customHeight="1">
      <c r="A942" s="22"/>
      <c r="D942" s="22"/>
    </row>
    <row r="943" ht="15.75" customHeight="1">
      <c r="A943" s="22"/>
      <c r="D943" s="22"/>
    </row>
    <row r="944" ht="15.75" customHeight="1">
      <c r="A944" s="22"/>
      <c r="D944" s="22"/>
    </row>
    <row r="945" ht="15.75" customHeight="1">
      <c r="A945" s="22"/>
      <c r="D945" s="22"/>
    </row>
    <row r="946" ht="15.75" customHeight="1">
      <c r="A946" s="22"/>
      <c r="D946" s="22"/>
    </row>
    <row r="947" ht="15.75" customHeight="1">
      <c r="A947" s="22"/>
      <c r="D947" s="22"/>
    </row>
    <row r="948" ht="15.75" customHeight="1">
      <c r="A948" s="22"/>
      <c r="D948" s="22"/>
    </row>
    <row r="949" ht="15.75" customHeight="1">
      <c r="A949" s="22"/>
      <c r="D949" s="22"/>
    </row>
    <row r="950" ht="15.75" customHeight="1">
      <c r="A950" s="22"/>
      <c r="D950" s="22"/>
    </row>
    <row r="951" ht="15.75" customHeight="1">
      <c r="A951" s="22"/>
      <c r="D951" s="22"/>
    </row>
    <row r="952" ht="15.75" customHeight="1">
      <c r="A952" s="22"/>
      <c r="D952" s="22"/>
    </row>
    <row r="953" ht="15.75" customHeight="1">
      <c r="A953" s="22"/>
      <c r="D953" s="22"/>
    </row>
    <row r="954" ht="15.75" customHeight="1">
      <c r="A954" s="22"/>
      <c r="D954" s="22"/>
    </row>
    <row r="955" ht="15.75" customHeight="1">
      <c r="A955" s="22"/>
      <c r="D955" s="22"/>
    </row>
    <row r="956" ht="15.75" customHeight="1">
      <c r="A956" s="22"/>
      <c r="D956" s="22"/>
    </row>
    <row r="957" ht="15.75" customHeight="1">
      <c r="A957" s="22"/>
      <c r="D957" s="22"/>
    </row>
    <row r="958" ht="15.75" customHeight="1">
      <c r="A958" s="22"/>
      <c r="D958" s="22"/>
    </row>
    <row r="959" ht="15.75" customHeight="1">
      <c r="A959" s="22"/>
      <c r="D959" s="22"/>
    </row>
    <row r="960" ht="15.75" customHeight="1">
      <c r="A960" s="22"/>
      <c r="D960" s="22"/>
    </row>
    <row r="961" ht="15.75" customHeight="1">
      <c r="A961" s="22"/>
      <c r="D961" s="22"/>
    </row>
    <row r="962" ht="15.75" customHeight="1">
      <c r="A962" s="22"/>
      <c r="D962" s="22"/>
    </row>
    <row r="963" ht="15.75" customHeight="1">
      <c r="A963" s="22"/>
      <c r="D963" s="22"/>
    </row>
    <row r="964" ht="15.75" customHeight="1">
      <c r="A964" s="22"/>
      <c r="D964" s="22"/>
    </row>
    <row r="965" ht="15.75" customHeight="1">
      <c r="A965" s="22"/>
      <c r="D965" s="22"/>
    </row>
    <row r="966" ht="15.75" customHeight="1">
      <c r="A966" s="22"/>
      <c r="D966" s="22"/>
    </row>
    <row r="967" ht="15.75" customHeight="1">
      <c r="A967" s="22"/>
      <c r="D967" s="22"/>
    </row>
    <row r="968" ht="15.75" customHeight="1">
      <c r="A968" s="22"/>
      <c r="D968" s="22"/>
    </row>
    <row r="969" ht="15.75" customHeight="1">
      <c r="A969" s="22"/>
      <c r="D969" s="22"/>
    </row>
    <row r="970" ht="15.75" customHeight="1">
      <c r="A970" s="22"/>
      <c r="D970" s="22"/>
    </row>
    <row r="971" ht="15.75" customHeight="1">
      <c r="A971" s="22"/>
      <c r="D971" s="22"/>
    </row>
    <row r="972" ht="15.75" customHeight="1">
      <c r="A972" s="22"/>
      <c r="D972" s="22"/>
    </row>
    <row r="973" ht="15.75" customHeight="1">
      <c r="A973" s="22"/>
      <c r="D973" s="22"/>
    </row>
    <row r="974" ht="15.75" customHeight="1">
      <c r="A974" s="22"/>
      <c r="D974" s="22"/>
    </row>
    <row r="975" ht="15.75" customHeight="1">
      <c r="A975" s="22"/>
      <c r="D975" s="22"/>
    </row>
    <row r="976" ht="15.75" customHeight="1">
      <c r="A976" s="22"/>
      <c r="D976" s="22"/>
    </row>
    <row r="977" ht="15.75" customHeight="1">
      <c r="A977" s="22"/>
      <c r="D977" s="22"/>
    </row>
    <row r="978" ht="15.75" customHeight="1">
      <c r="A978" s="22"/>
      <c r="D978" s="22"/>
    </row>
    <row r="979" ht="15.75" customHeight="1">
      <c r="A979" s="22"/>
      <c r="D979" s="22"/>
    </row>
    <row r="980" ht="15.75" customHeight="1">
      <c r="A980" s="22"/>
      <c r="D980" s="22"/>
    </row>
    <row r="981" ht="15.75" customHeight="1">
      <c r="A981" s="22"/>
      <c r="D981" s="22"/>
    </row>
    <row r="982" ht="15.75" customHeight="1">
      <c r="A982" s="22"/>
      <c r="D982" s="22"/>
    </row>
    <row r="983" ht="15.75" customHeight="1">
      <c r="A983" s="22"/>
      <c r="D983" s="22"/>
    </row>
    <row r="984" ht="15.75" customHeight="1">
      <c r="A984" s="22"/>
      <c r="D984" s="22"/>
    </row>
    <row r="985" ht="15.75" customHeight="1">
      <c r="A985" s="22"/>
      <c r="D985" s="22"/>
    </row>
    <row r="986" ht="15.75" customHeight="1">
      <c r="A986" s="22"/>
      <c r="D986" s="22"/>
    </row>
    <row r="987" ht="15.75" customHeight="1">
      <c r="A987" s="22"/>
      <c r="D987" s="22"/>
    </row>
    <row r="988" ht="15.75" customHeight="1">
      <c r="A988" s="22"/>
      <c r="D988" s="22"/>
    </row>
    <row r="989" ht="15.75" customHeight="1">
      <c r="A989" s="22"/>
      <c r="D989" s="22"/>
    </row>
    <row r="990" ht="15.75" customHeight="1">
      <c r="A990" s="22"/>
      <c r="D990" s="22"/>
    </row>
    <row r="991" ht="15.75" customHeight="1">
      <c r="A991" s="22"/>
      <c r="D991" s="22"/>
    </row>
    <row r="992" ht="15.75" customHeight="1">
      <c r="A992" s="22"/>
      <c r="D992" s="22"/>
    </row>
    <row r="993" ht="15.75" customHeight="1">
      <c r="A993" s="22"/>
      <c r="D993" s="22"/>
    </row>
    <row r="994" ht="15.75" customHeight="1">
      <c r="A994" s="22"/>
      <c r="D994" s="22"/>
    </row>
    <row r="995" ht="15.75" customHeight="1">
      <c r="A995" s="22"/>
      <c r="D995" s="22"/>
    </row>
    <row r="996" ht="15.75" customHeight="1">
      <c r="A996" s="22"/>
      <c r="D996" s="22"/>
    </row>
    <row r="997" ht="15.75" customHeight="1">
      <c r="A997" s="22"/>
      <c r="D997" s="22"/>
    </row>
    <row r="998" ht="15.75" customHeight="1">
      <c r="A998" s="22"/>
      <c r="D998" s="22"/>
    </row>
    <row r="999" ht="15.75" customHeight="1">
      <c r="A999" s="22"/>
      <c r="D999" s="22"/>
    </row>
    <row r="1000" ht="15.75" customHeight="1">
      <c r="A1000" s="22"/>
      <c r="D1000" s="22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5" max="5" width="22.25"/>
    <col customWidth="1" min="6" max="6" width="45.63"/>
    <col customWidth="1" min="8" max="8" width="36.0"/>
    <col customWidth="1" min="9" max="9" width="31.0"/>
    <col customWidth="1" min="10" max="10" width="49.13"/>
  </cols>
  <sheetData>
    <row r="1">
      <c r="A1" s="33" t="s">
        <v>134</v>
      </c>
      <c r="B1" s="33" t="s">
        <v>135</v>
      </c>
      <c r="C1" s="33" t="s">
        <v>136</v>
      </c>
      <c r="D1" s="33" t="s">
        <v>137</v>
      </c>
      <c r="E1" s="33" t="s">
        <v>138</v>
      </c>
      <c r="F1" s="34"/>
      <c r="G1" s="33" t="s">
        <v>139</v>
      </c>
      <c r="H1" s="33" t="s">
        <v>140</v>
      </c>
      <c r="I1" s="33" t="s">
        <v>141</v>
      </c>
      <c r="J1" s="33" t="s">
        <v>142</v>
      </c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>
      <c r="A2" s="35">
        <v>44885.0</v>
      </c>
      <c r="B2" s="18" t="s">
        <v>74</v>
      </c>
      <c r="C2" s="18" t="s">
        <v>106</v>
      </c>
      <c r="D2" s="18">
        <v>67372.0</v>
      </c>
      <c r="E2" s="18" t="s">
        <v>143</v>
      </c>
      <c r="G2" s="18" t="s">
        <v>74</v>
      </c>
      <c r="H2" s="17">
        <f t="shared" ref="H2:H33" si="1">SUMIF($B$2:$B$49,G2,$D$2:$D$49) 
+ SUMIF($C$2:$C$49,G2,$D$2:$D$49)</f>
        <v>175953</v>
      </c>
      <c r="I2" s="17">
        <f t="shared" ref="I2:I33" si="2">H2/3</f>
        <v>58651</v>
      </c>
      <c r="J2" s="17">
        <f t="shared" ref="J2:J33" si="3">I2*0.12</f>
        <v>7038.12</v>
      </c>
    </row>
    <row r="3">
      <c r="A3" s="35">
        <v>44886.0</v>
      </c>
      <c r="B3" s="18" t="s">
        <v>35</v>
      </c>
      <c r="C3" s="18" t="s">
        <v>65</v>
      </c>
      <c r="D3" s="18">
        <v>45334.0</v>
      </c>
      <c r="E3" s="18" t="s">
        <v>144</v>
      </c>
      <c r="G3" s="18" t="s">
        <v>106</v>
      </c>
      <c r="H3" s="17">
        <f t="shared" si="1"/>
        <v>156774</v>
      </c>
      <c r="I3" s="17">
        <f t="shared" si="2"/>
        <v>52258</v>
      </c>
      <c r="J3" s="17">
        <f t="shared" si="3"/>
        <v>6270.96</v>
      </c>
    </row>
    <row r="4">
      <c r="A4" s="35">
        <v>44886.0</v>
      </c>
      <c r="B4" s="18" t="s">
        <v>93</v>
      </c>
      <c r="C4" s="18" t="s">
        <v>44</v>
      </c>
      <c r="D4" s="18">
        <v>41721.0</v>
      </c>
      <c r="E4" s="18" t="s">
        <v>145</v>
      </c>
      <c r="G4" s="18" t="s">
        <v>93</v>
      </c>
      <c r="H4" s="17">
        <f t="shared" si="1"/>
        <v>128087</v>
      </c>
      <c r="I4" s="17">
        <f t="shared" si="2"/>
        <v>42695.66667</v>
      </c>
      <c r="J4" s="17">
        <f t="shared" si="3"/>
        <v>5123.48</v>
      </c>
    </row>
    <row r="5">
      <c r="A5" s="35">
        <v>44886.0</v>
      </c>
      <c r="B5" s="18" t="s">
        <v>124</v>
      </c>
      <c r="C5" s="18" t="s">
        <v>146</v>
      </c>
      <c r="D5" s="18">
        <v>43418.0</v>
      </c>
      <c r="E5" s="18" t="s">
        <v>147</v>
      </c>
      <c r="G5" s="18" t="s">
        <v>44</v>
      </c>
      <c r="H5" s="17">
        <f t="shared" si="1"/>
        <v>153338</v>
      </c>
      <c r="I5" s="17">
        <f t="shared" si="2"/>
        <v>51112.66667</v>
      </c>
      <c r="J5" s="17">
        <f t="shared" si="3"/>
        <v>6133.52</v>
      </c>
    </row>
    <row r="6">
      <c r="A6" s="35">
        <v>44887.0</v>
      </c>
      <c r="B6" s="18" t="s">
        <v>99</v>
      </c>
      <c r="C6" s="18" t="s">
        <v>76</v>
      </c>
      <c r="D6" s="18">
        <v>88012.0</v>
      </c>
      <c r="E6" s="18" t="s">
        <v>148</v>
      </c>
      <c r="G6" s="18" t="s">
        <v>35</v>
      </c>
      <c r="H6" s="17">
        <f t="shared" si="1"/>
        <v>158094</v>
      </c>
      <c r="I6" s="17">
        <f t="shared" si="2"/>
        <v>52698</v>
      </c>
      <c r="J6" s="17">
        <f t="shared" si="3"/>
        <v>6323.76</v>
      </c>
    </row>
    <row r="7">
      <c r="A7" s="35">
        <v>44887.0</v>
      </c>
      <c r="B7" s="18" t="s">
        <v>149</v>
      </c>
      <c r="C7" s="18" t="s">
        <v>97</v>
      </c>
      <c r="D7" s="18">
        <v>42925.0</v>
      </c>
      <c r="E7" s="18" t="s">
        <v>150</v>
      </c>
      <c r="G7" s="18" t="s">
        <v>65</v>
      </c>
      <c r="H7" s="17">
        <f t="shared" si="1"/>
        <v>128336</v>
      </c>
      <c r="I7" s="17">
        <f t="shared" si="2"/>
        <v>42778.66667</v>
      </c>
      <c r="J7" s="17">
        <f t="shared" si="3"/>
        <v>5133.44</v>
      </c>
    </row>
    <row r="8">
      <c r="A8" s="35">
        <v>44887.0</v>
      </c>
      <c r="B8" s="18" t="s">
        <v>119</v>
      </c>
      <c r="C8" s="18" t="s">
        <v>151</v>
      </c>
      <c r="D8" s="18">
        <v>39369.0</v>
      </c>
      <c r="E8" s="18" t="s">
        <v>152</v>
      </c>
      <c r="G8" s="18" t="s">
        <v>124</v>
      </c>
      <c r="H8" s="17">
        <f t="shared" si="1"/>
        <v>154008</v>
      </c>
      <c r="I8" s="17">
        <f t="shared" si="2"/>
        <v>51336</v>
      </c>
      <c r="J8" s="17">
        <f t="shared" si="3"/>
        <v>6160.32</v>
      </c>
    </row>
    <row r="9">
      <c r="A9" s="35">
        <v>44887.0</v>
      </c>
      <c r="B9" s="18" t="s">
        <v>38</v>
      </c>
      <c r="C9" s="18" t="s">
        <v>63</v>
      </c>
      <c r="D9" s="18">
        <v>40875.0</v>
      </c>
      <c r="E9" s="18" t="s">
        <v>153</v>
      </c>
      <c r="G9" s="18" t="s">
        <v>146</v>
      </c>
      <c r="H9" s="17">
        <f t="shared" si="1"/>
        <v>128590</v>
      </c>
      <c r="I9" s="17">
        <f t="shared" si="2"/>
        <v>42863.33333</v>
      </c>
      <c r="J9" s="17">
        <f t="shared" si="3"/>
        <v>5143.6</v>
      </c>
    </row>
    <row r="10">
      <c r="A10" s="35">
        <v>44888.0</v>
      </c>
      <c r="B10" s="18" t="s">
        <v>91</v>
      </c>
      <c r="C10" s="18" t="s">
        <v>32</v>
      </c>
      <c r="D10" s="18">
        <v>59407.0</v>
      </c>
      <c r="E10" s="18" t="s">
        <v>143</v>
      </c>
      <c r="G10" s="18" t="s">
        <v>99</v>
      </c>
      <c r="H10" s="17">
        <f t="shared" si="1"/>
        <v>221067</v>
      </c>
      <c r="I10" s="17">
        <f t="shared" si="2"/>
        <v>73689</v>
      </c>
      <c r="J10" s="17">
        <f t="shared" si="3"/>
        <v>8842.68</v>
      </c>
    </row>
    <row r="11">
      <c r="A11" s="35">
        <v>44888.0</v>
      </c>
      <c r="B11" s="18" t="s">
        <v>41</v>
      </c>
      <c r="C11" s="18" t="s">
        <v>68</v>
      </c>
      <c r="D11" s="18">
        <v>42608.0</v>
      </c>
      <c r="E11" s="18" t="s">
        <v>144</v>
      </c>
      <c r="G11" s="18" t="s">
        <v>76</v>
      </c>
      <c r="H11" s="17">
        <f t="shared" si="1"/>
        <v>217256</v>
      </c>
      <c r="I11" s="17">
        <f t="shared" si="2"/>
        <v>72418.66667</v>
      </c>
      <c r="J11" s="17">
        <f t="shared" si="3"/>
        <v>8690.24</v>
      </c>
    </row>
    <row r="12">
      <c r="A12" s="35">
        <v>44888.0</v>
      </c>
      <c r="B12" s="18" t="s">
        <v>53</v>
      </c>
      <c r="C12" s="18" t="s">
        <v>154</v>
      </c>
      <c r="D12" s="18">
        <v>40013.0</v>
      </c>
      <c r="E12" s="18" t="s">
        <v>145</v>
      </c>
      <c r="G12" s="18" t="s">
        <v>119</v>
      </c>
      <c r="H12" s="17">
        <f t="shared" si="1"/>
        <v>213320</v>
      </c>
      <c r="I12" s="17">
        <f t="shared" si="2"/>
        <v>71106.66667</v>
      </c>
      <c r="J12" s="17">
        <f t="shared" si="3"/>
        <v>8532.8</v>
      </c>
    </row>
    <row r="13">
      <c r="A13" s="35">
        <v>44888.0</v>
      </c>
      <c r="B13" s="18" t="s">
        <v>28</v>
      </c>
      <c r="C13" s="18" t="s">
        <v>112</v>
      </c>
      <c r="D13" s="18">
        <v>40432.0</v>
      </c>
      <c r="E13" s="18" t="s">
        <v>147</v>
      </c>
      <c r="G13" s="18" t="s">
        <v>151</v>
      </c>
      <c r="H13" s="17">
        <f t="shared" si="1"/>
        <v>127717</v>
      </c>
      <c r="I13" s="17">
        <f t="shared" si="2"/>
        <v>42572.33333</v>
      </c>
      <c r="J13" s="17">
        <f t="shared" si="3"/>
        <v>5108.68</v>
      </c>
    </row>
    <row r="14">
      <c r="A14" s="35">
        <v>44889.0</v>
      </c>
      <c r="B14" s="18" t="s">
        <v>55</v>
      </c>
      <c r="C14" s="18" t="s">
        <v>155</v>
      </c>
      <c r="D14" s="18">
        <v>39089.0</v>
      </c>
      <c r="E14" s="18" t="s">
        <v>153</v>
      </c>
      <c r="G14" s="18" t="s">
        <v>38</v>
      </c>
      <c r="H14" s="17">
        <f t="shared" si="1"/>
        <v>127362</v>
      </c>
      <c r="I14" s="17">
        <f t="shared" si="2"/>
        <v>42454</v>
      </c>
      <c r="J14" s="17">
        <f t="shared" si="3"/>
        <v>5094.48</v>
      </c>
    </row>
    <row r="15">
      <c r="A15" s="35">
        <v>44889.0</v>
      </c>
      <c r="B15" s="18" t="s">
        <v>110</v>
      </c>
      <c r="C15" s="18" t="s">
        <v>72</v>
      </c>
      <c r="D15" s="18">
        <v>41663.0</v>
      </c>
      <c r="E15" s="18" t="s">
        <v>150</v>
      </c>
      <c r="G15" s="18" t="s">
        <v>63</v>
      </c>
      <c r="H15" s="17">
        <f t="shared" si="1"/>
        <v>123930</v>
      </c>
      <c r="I15" s="17">
        <f t="shared" si="2"/>
        <v>41310</v>
      </c>
      <c r="J15" s="17">
        <f t="shared" si="3"/>
        <v>4957.2</v>
      </c>
    </row>
    <row r="16">
      <c r="A16" s="35">
        <v>44889.0</v>
      </c>
      <c r="B16" s="18" t="s">
        <v>49</v>
      </c>
      <c r="C16" s="18" t="s">
        <v>89</v>
      </c>
      <c r="D16" s="18">
        <v>42662.0</v>
      </c>
      <c r="E16" s="18" t="s">
        <v>152</v>
      </c>
      <c r="G16" s="18" t="s">
        <v>149</v>
      </c>
      <c r="H16" s="17">
        <f t="shared" si="1"/>
        <v>127017</v>
      </c>
      <c r="I16" s="17">
        <f t="shared" si="2"/>
        <v>42339</v>
      </c>
      <c r="J16" s="17">
        <f t="shared" si="3"/>
        <v>5080.68</v>
      </c>
    </row>
    <row r="17">
      <c r="A17" s="35">
        <v>44889.0</v>
      </c>
      <c r="B17" s="18" t="s">
        <v>102</v>
      </c>
      <c r="C17" s="18" t="s">
        <v>156</v>
      </c>
      <c r="D17" s="18">
        <v>88103.0</v>
      </c>
      <c r="E17" s="18" t="s">
        <v>148</v>
      </c>
      <c r="G17" s="18" t="s">
        <v>97</v>
      </c>
      <c r="H17" s="17">
        <f t="shared" si="1"/>
        <v>128375</v>
      </c>
      <c r="I17" s="17">
        <f t="shared" si="2"/>
        <v>42791.66667</v>
      </c>
      <c r="J17" s="17">
        <f t="shared" si="3"/>
        <v>5135</v>
      </c>
    </row>
    <row r="18">
      <c r="A18" s="35">
        <v>44890.0</v>
      </c>
      <c r="B18" s="18" t="s">
        <v>146</v>
      </c>
      <c r="C18" s="18" t="s">
        <v>65</v>
      </c>
      <c r="D18" s="18">
        <v>40875.0</v>
      </c>
      <c r="E18" s="18" t="s">
        <v>147</v>
      </c>
      <c r="G18" s="18" t="s">
        <v>53</v>
      </c>
      <c r="H18" s="17">
        <f t="shared" si="1"/>
        <v>153759</v>
      </c>
      <c r="I18" s="17">
        <f t="shared" si="2"/>
        <v>51253</v>
      </c>
      <c r="J18" s="17">
        <f t="shared" si="3"/>
        <v>6150.36</v>
      </c>
    </row>
    <row r="19">
      <c r="A19" s="35">
        <v>44890.0</v>
      </c>
      <c r="B19" s="18" t="s">
        <v>74</v>
      </c>
      <c r="C19" s="18" t="s">
        <v>93</v>
      </c>
      <c r="D19" s="18">
        <v>41797.0</v>
      </c>
      <c r="E19" s="18" t="s">
        <v>145</v>
      </c>
      <c r="G19" s="18" t="s">
        <v>154</v>
      </c>
      <c r="H19" s="17">
        <f t="shared" si="1"/>
        <v>148546</v>
      </c>
      <c r="I19" s="17">
        <f t="shared" si="2"/>
        <v>49515.33333</v>
      </c>
      <c r="J19" s="17">
        <f t="shared" si="3"/>
        <v>5941.84</v>
      </c>
    </row>
    <row r="20">
      <c r="A20" s="35">
        <v>44890.0</v>
      </c>
      <c r="B20" s="18" t="s">
        <v>44</v>
      </c>
      <c r="C20" s="18" t="s">
        <v>106</v>
      </c>
      <c r="D20" s="18">
        <v>44833.0</v>
      </c>
      <c r="E20" s="18" t="s">
        <v>144</v>
      </c>
      <c r="G20" s="18" t="s">
        <v>41</v>
      </c>
      <c r="H20" s="17">
        <f t="shared" si="1"/>
        <v>178557</v>
      </c>
      <c r="I20" s="17">
        <f t="shared" si="2"/>
        <v>59519</v>
      </c>
      <c r="J20" s="17">
        <f t="shared" si="3"/>
        <v>7142.28</v>
      </c>
    </row>
    <row r="21">
      <c r="A21" s="35">
        <v>44890.0</v>
      </c>
      <c r="B21" s="18" t="s">
        <v>35</v>
      </c>
      <c r="C21" s="18" t="s">
        <v>124</v>
      </c>
      <c r="D21" s="18">
        <v>68463.0</v>
      </c>
      <c r="E21" s="18" t="s">
        <v>143</v>
      </c>
      <c r="G21" s="18" t="s">
        <v>68</v>
      </c>
      <c r="H21" s="17">
        <f t="shared" si="1"/>
        <v>128938</v>
      </c>
      <c r="I21" s="17">
        <f t="shared" si="2"/>
        <v>42979.33333</v>
      </c>
      <c r="J21" s="17">
        <f t="shared" si="3"/>
        <v>5157.52</v>
      </c>
    </row>
    <row r="22">
      <c r="A22" s="35">
        <v>44891.0</v>
      </c>
      <c r="B22" s="18" t="s">
        <v>97</v>
      </c>
      <c r="C22" s="18" t="s">
        <v>63</v>
      </c>
      <c r="D22" s="18">
        <v>41823.0</v>
      </c>
      <c r="E22" s="18" t="s">
        <v>153</v>
      </c>
      <c r="G22" s="18" t="s">
        <v>28</v>
      </c>
      <c r="H22" s="17">
        <f t="shared" si="1"/>
        <v>128154</v>
      </c>
      <c r="I22" s="17">
        <f t="shared" si="2"/>
        <v>42718</v>
      </c>
      <c r="J22" s="17">
        <f t="shared" si="3"/>
        <v>5126.16</v>
      </c>
    </row>
    <row r="23">
      <c r="A23" s="35">
        <v>44891.0</v>
      </c>
      <c r="B23" s="18" t="s">
        <v>151</v>
      </c>
      <c r="C23" s="18" t="s">
        <v>76</v>
      </c>
      <c r="D23" s="18">
        <v>44259.0</v>
      </c>
      <c r="E23" s="18" t="s">
        <v>150</v>
      </c>
      <c r="G23" s="18" t="s">
        <v>112</v>
      </c>
      <c r="H23" s="17">
        <f t="shared" si="1"/>
        <v>127908</v>
      </c>
      <c r="I23" s="17">
        <f t="shared" si="2"/>
        <v>42636</v>
      </c>
      <c r="J23" s="17">
        <f t="shared" si="3"/>
        <v>5116.32</v>
      </c>
    </row>
    <row r="24">
      <c r="A24" s="35">
        <v>44891.0</v>
      </c>
      <c r="B24" s="18" t="s">
        <v>38</v>
      </c>
      <c r="C24" s="18" t="s">
        <v>149</v>
      </c>
      <c r="D24" s="18">
        <v>42860.0</v>
      </c>
      <c r="E24" s="18" t="s">
        <v>152</v>
      </c>
      <c r="G24" s="18" t="s">
        <v>91</v>
      </c>
      <c r="H24" s="17">
        <f t="shared" si="1"/>
        <v>146247</v>
      </c>
      <c r="I24" s="17">
        <f t="shared" si="2"/>
        <v>48749</v>
      </c>
      <c r="J24" s="17">
        <f t="shared" si="3"/>
        <v>5849.88</v>
      </c>
    </row>
    <row r="25">
      <c r="A25" s="35">
        <v>44891.0</v>
      </c>
      <c r="B25" s="18" t="s">
        <v>99</v>
      </c>
      <c r="C25" s="18" t="s">
        <v>119</v>
      </c>
      <c r="D25" s="18">
        <v>88966.0</v>
      </c>
      <c r="E25" s="18" t="s">
        <v>148</v>
      </c>
      <c r="G25" s="18" t="s">
        <v>32</v>
      </c>
      <c r="H25" s="17">
        <f t="shared" si="1"/>
        <v>147765</v>
      </c>
      <c r="I25" s="17">
        <f t="shared" si="2"/>
        <v>49255</v>
      </c>
      <c r="J25" s="17">
        <f t="shared" si="3"/>
        <v>5910.6</v>
      </c>
    </row>
    <row r="26">
      <c r="A26" s="35">
        <v>44892.0</v>
      </c>
      <c r="B26" s="18" t="s">
        <v>68</v>
      </c>
      <c r="C26" s="18" t="s">
        <v>154</v>
      </c>
      <c r="D26" s="18">
        <v>41479.0</v>
      </c>
      <c r="E26" s="18" t="s">
        <v>147</v>
      </c>
      <c r="G26" s="18" t="s">
        <v>55</v>
      </c>
      <c r="H26" s="17">
        <f t="shared" si="1"/>
        <v>124116</v>
      </c>
      <c r="I26" s="17">
        <f t="shared" si="2"/>
        <v>41372</v>
      </c>
      <c r="J26" s="17">
        <f t="shared" si="3"/>
        <v>4964.64</v>
      </c>
    </row>
    <row r="27">
      <c r="A27" s="35">
        <v>44892.0</v>
      </c>
      <c r="B27" s="18" t="s">
        <v>28</v>
      </c>
      <c r="C27" s="18" t="s">
        <v>91</v>
      </c>
      <c r="D27" s="18">
        <v>43738.0</v>
      </c>
      <c r="E27" s="18" t="s">
        <v>145</v>
      </c>
      <c r="G27" s="18" t="s">
        <v>155</v>
      </c>
      <c r="H27" s="17">
        <f t="shared" si="1"/>
        <v>164864</v>
      </c>
      <c r="I27" s="17">
        <f t="shared" si="2"/>
        <v>54954.66667</v>
      </c>
      <c r="J27" s="17">
        <f t="shared" si="3"/>
        <v>6594.56</v>
      </c>
    </row>
    <row r="28">
      <c r="A28" s="35">
        <v>44892.0</v>
      </c>
      <c r="B28" s="18" t="s">
        <v>32</v>
      </c>
      <c r="C28" s="18" t="s">
        <v>112</v>
      </c>
      <c r="D28" s="18">
        <v>44374.0</v>
      </c>
      <c r="E28" s="18" t="s">
        <v>144</v>
      </c>
      <c r="G28" s="18" t="s">
        <v>102</v>
      </c>
      <c r="H28" s="17">
        <f t="shared" si="1"/>
        <v>217738</v>
      </c>
      <c r="I28" s="17">
        <f t="shared" si="2"/>
        <v>72579.33333</v>
      </c>
      <c r="J28" s="17">
        <f t="shared" si="3"/>
        <v>8709.52</v>
      </c>
    </row>
    <row r="29">
      <c r="A29" s="35">
        <v>44892.0</v>
      </c>
      <c r="B29" s="18" t="s">
        <v>53</v>
      </c>
      <c r="C29" s="18" t="s">
        <v>41</v>
      </c>
      <c r="D29" s="18">
        <v>68895.0</v>
      </c>
      <c r="E29" s="18" t="s">
        <v>143</v>
      </c>
      <c r="G29" s="18" t="s">
        <v>156</v>
      </c>
      <c r="H29" s="17">
        <f t="shared" si="1"/>
        <v>169270</v>
      </c>
      <c r="I29" s="17">
        <f t="shared" si="2"/>
        <v>56423.33333</v>
      </c>
      <c r="J29" s="17">
        <f t="shared" si="3"/>
        <v>6770.8</v>
      </c>
    </row>
    <row r="30">
      <c r="A30" s="35">
        <v>44893.0</v>
      </c>
      <c r="B30" s="18" t="s">
        <v>155</v>
      </c>
      <c r="C30" s="18" t="s">
        <v>156</v>
      </c>
      <c r="D30" s="18">
        <v>39789.0</v>
      </c>
      <c r="E30" s="18" t="s">
        <v>153</v>
      </c>
      <c r="G30" s="18" t="s">
        <v>49</v>
      </c>
      <c r="H30" s="17">
        <f t="shared" si="1"/>
        <v>175427</v>
      </c>
      <c r="I30" s="17">
        <f t="shared" si="2"/>
        <v>58475.66667</v>
      </c>
      <c r="J30" s="17">
        <f t="shared" si="3"/>
        <v>7017.08</v>
      </c>
    </row>
    <row r="31">
      <c r="A31" s="35">
        <v>44893.0</v>
      </c>
      <c r="B31" s="18" t="s">
        <v>72</v>
      </c>
      <c r="C31" s="18" t="s">
        <v>89</v>
      </c>
      <c r="D31" s="18">
        <v>43983.0</v>
      </c>
      <c r="E31" s="18" t="s">
        <v>150</v>
      </c>
      <c r="G31" s="18" t="s">
        <v>89</v>
      </c>
      <c r="H31" s="17">
        <f t="shared" si="1"/>
        <v>130088</v>
      </c>
      <c r="I31" s="17">
        <f t="shared" si="2"/>
        <v>43362.66667</v>
      </c>
      <c r="J31" s="17">
        <f t="shared" si="3"/>
        <v>5203.52</v>
      </c>
    </row>
    <row r="32">
      <c r="A32" s="35">
        <v>44893.0</v>
      </c>
      <c r="B32" s="18" t="s">
        <v>102</v>
      </c>
      <c r="C32" s="18" t="s">
        <v>55</v>
      </c>
      <c r="D32" s="18">
        <v>43649.0</v>
      </c>
      <c r="E32" s="18" t="s">
        <v>152</v>
      </c>
      <c r="G32" s="18" t="s">
        <v>110</v>
      </c>
      <c r="H32" s="17">
        <f t="shared" si="1"/>
        <v>173774</v>
      </c>
      <c r="I32" s="17">
        <f t="shared" si="2"/>
        <v>57924.66667</v>
      </c>
      <c r="J32" s="17">
        <f t="shared" si="3"/>
        <v>6950.96</v>
      </c>
    </row>
    <row r="33">
      <c r="A33" s="35">
        <v>44893.0</v>
      </c>
      <c r="B33" s="18" t="s">
        <v>49</v>
      </c>
      <c r="C33" s="18" t="s">
        <v>110</v>
      </c>
      <c r="D33" s="18">
        <v>88668.0</v>
      </c>
      <c r="E33" s="18" t="s">
        <v>148</v>
      </c>
      <c r="G33" s="18" t="s">
        <v>72</v>
      </c>
      <c r="H33" s="17">
        <f t="shared" si="1"/>
        <v>129743</v>
      </c>
      <c r="I33" s="17">
        <f t="shared" si="2"/>
        <v>43247.66667</v>
      </c>
      <c r="J33" s="17">
        <f t="shared" si="3"/>
        <v>5189.72</v>
      </c>
    </row>
    <row r="34">
      <c r="A34" s="35">
        <v>44894.0</v>
      </c>
      <c r="B34" s="18" t="s">
        <v>106</v>
      </c>
      <c r="C34" s="18" t="s">
        <v>93</v>
      </c>
      <c r="D34" s="18">
        <v>44569.0</v>
      </c>
      <c r="E34" s="18" t="s">
        <v>144</v>
      </c>
      <c r="F34" s="36" t="s">
        <v>157</v>
      </c>
      <c r="G34" s="18">
        <f>COUNTA(G2:G33)</f>
        <v>32</v>
      </c>
      <c r="H34" s="17"/>
      <c r="I34" s="17"/>
      <c r="J34" s="17"/>
    </row>
    <row r="35">
      <c r="A35" s="35">
        <v>44894.0</v>
      </c>
      <c r="B35" s="18" t="s">
        <v>44</v>
      </c>
      <c r="C35" s="18" t="s">
        <v>74</v>
      </c>
      <c r="D35" s="18">
        <v>66784.0</v>
      </c>
      <c r="E35" s="18" t="s">
        <v>143</v>
      </c>
    </row>
    <row r="36">
      <c r="A36" s="35">
        <v>44894.0</v>
      </c>
      <c r="B36" s="18" t="s">
        <v>65</v>
      </c>
      <c r="C36" s="18" t="s">
        <v>124</v>
      </c>
      <c r="D36" s="18">
        <v>42127.0</v>
      </c>
      <c r="E36" s="18" t="s">
        <v>145</v>
      </c>
    </row>
    <row r="37">
      <c r="A37" s="35">
        <v>44894.0</v>
      </c>
      <c r="B37" s="18" t="s">
        <v>146</v>
      </c>
      <c r="C37" s="18" t="s">
        <v>35</v>
      </c>
      <c r="D37" s="18">
        <v>44297.0</v>
      </c>
      <c r="E37" s="18" t="s">
        <v>147</v>
      </c>
      <c r="G37" s="37" t="s">
        <v>158</v>
      </c>
    </row>
    <row r="38">
      <c r="A38" s="35">
        <v>44895.0</v>
      </c>
      <c r="B38" s="18" t="s">
        <v>63</v>
      </c>
      <c r="C38" s="18" t="s">
        <v>149</v>
      </c>
      <c r="D38" s="18">
        <v>41232.0</v>
      </c>
      <c r="E38" s="18" t="s">
        <v>153</v>
      </c>
    </row>
    <row r="39">
      <c r="A39" s="35">
        <v>44895.0</v>
      </c>
      <c r="B39" s="18" t="s">
        <v>97</v>
      </c>
      <c r="C39" s="18" t="s">
        <v>38</v>
      </c>
      <c r="D39" s="18">
        <v>43627.0</v>
      </c>
      <c r="E39" s="18" t="s">
        <v>150</v>
      </c>
    </row>
    <row r="40">
      <c r="A40" s="35">
        <v>44895.0</v>
      </c>
      <c r="B40" s="18" t="s">
        <v>76</v>
      </c>
      <c r="C40" s="18" t="s">
        <v>119</v>
      </c>
      <c r="D40" s="18">
        <v>84985.0</v>
      </c>
      <c r="E40" s="18" t="s">
        <v>148</v>
      </c>
    </row>
    <row r="41">
      <c r="A41" s="35">
        <v>44895.0</v>
      </c>
      <c r="B41" s="18" t="s">
        <v>151</v>
      </c>
      <c r="C41" s="18" t="s">
        <v>99</v>
      </c>
      <c r="D41" s="18">
        <v>44089.0</v>
      </c>
      <c r="E41" s="18" t="s">
        <v>152</v>
      </c>
    </row>
    <row r="42">
      <c r="A42" s="38">
        <v>44896.0</v>
      </c>
      <c r="B42" s="18" t="s">
        <v>112</v>
      </c>
      <c r="C42" s="18" t="s">
        <v>91</v>
      </c>
      <c r="D42" s="18">
        <v>43102.0</v>
      </c>
      <c r="E42" s="18" t="s">
        <v>145</v>
      </c>
    </row>
    <row r="43">
      <c r="A43" s="38">
        <v>44896.0</v>
      </c>
      <c r="B43" s="18" t="s">
        <v>32</v>
      </c>
      <c r="C43" s="18" t="s">
        <v>28</v>
      </c>
      <c r="D43" s="18">
        <v>43984.0</v>
      </c>
      <c r="E43" s="18" t="s">
        <v>147</v>
      </c>
    </row>
    <row r="44">
      <c r="A44" s="38">
        <v>44896.0</v>
      </c>
      <c r="B44" s="18" t="s">
        <v>154</v>
      </c>
      <c r="C44" s="18" t="s">
        <v>41</v>
      </c>
      <c r="D44" s="18">
        <v>67054.0</v>
      </c>
      <c r="E44" s="18" t="s">
        <v>143</v>
      </c>
    </row>
    <row r="45">
      <c r="A45" s="38">
        <v>44896.0</v>
      </c>
      <c r="B45" s="18" t="s">
        <v>68</v>
      </c>
      <c r="C45" s="18" t="s">
        <v>53</v>
      </c>
      <c r="D45" s="18">
        <v>44851.0</v>
      </c>
      <c r="E45" s="18" t="s">
        <v>144</v>
      </c>
    </row>
    <row r="46">
      <c r="A46" s="38">
        <v>44897.0</v>
      </c>
      <c r="B46" s="18" t="s">
        <v>72</v>
      </c>
      <c r="C46" s="18" t="s">
        <v>49</v>
      </c>
      <c r="D46" s="18">
        <v>44097.0</v>
      </c>
      <c r="E46" s="18" t="s">
        <v>150</v>
      </c>
    </row>
    <row r="47">
      <c r="A47" s="38">
        <v>44897.0</v>
      </c>
      <c r="B47" s="18" t="s">
        <v>89</v>
      </c>
      <c r="C47" s="18" t="s">
        <v>110</v>
      </c>
      <c r="D47" s="18">
        <v>43443.0</v>
      </c>
      <c r="E47" s="18" t="s">
        <v>153</v>
      </c>
    </row>
    <row r="48">
      <c r="A48" s="38">
        <v>44897.0</v>
      </c>
      <c r="B48" s="18" t="s">
        <v>155</v>
      </c>
      <c r="C48" s="18" t="s">
        <v>102</v>
      </c>
      <c r="D48" s="18">
        <v>85986.0</v>
      </c>
      <c r="E48" s="18" t="s">
        <v>148</v>
      </c>
    </row>
    <row r="49">
      <c r="A49" s="38">
        <v>44897.0</v>
      </c>
      <c r="B49" s="18" t="s">
        <v>156</v>
      </c>
      <c r="C49" s="18" t="s">
        <v>55</v>
      </c>
      <c r="D49" s="18">
        <v>41378.0</v>
      </c>
      <c r="E49" s="18" t="s">
        <v>152</v>
      </c>
    </row>
    <row r="55">
      <c r="F55" s="30"/>
    </row>
  </sheetData>
  <hyperlinks>
    <hyperlink r:id="rId1" ref="G37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75"/>
    <col customWidth="1" min="2" max="2" width="21.5"/>
    <col customWidth="1" min="3" max="3" width="14.13"/>
    <col customWidth="1" min="4" max="5" width="12.63"/>
  </cols>
  <sheetData>
    <row r="1" ht="15.75" customHeight="1">
      <c r="A1" s="7"/>
      <c r="B1" s="7"/>
      <c r="C1" s="39" t="s">
        <v>2</v>
      </c>
      <c r="D1" s="39" t="s">
        <v>3</v>
      </c>
      <c r="E1" s="33" t="s">
        <v>4</v>
      </c>
    </row>
    <row r="2" ht="15.75" customHeight="1">
      <c r="A2" s="40" t="s">
        <v>159</v>
      </c>
      <c r="B2" s="7" t="s">
        <v>160</v>
      </c>
      <c r="C2" s="7" t="s">
        <v>24</v>
      </c>
      <c r="D2" s="7">
        <v>13.0</v>
      </c>
      <c r="E2" s="41">
        <v>1702.06</v>
      </c>
    </row>
    <row r="3" ht="15.75" customHeight="1">
      <c r="A3" s="7"/>
      <c r="B3" s="7" t="s">
        <v>161</v>
      </c>
      <c r="C3" s="7" t="s">
        <v>24</v>
      </c>
      <c r="D3" s="7">
        <v>69.0</v>
      </c>
      <c r="E3" s="18">
        <v>1366.02</v>
      </c>
    </row>
    <row r="4" ht="15.75" customHeight="1">
      <c r="A4" s="7"/>
      <c r="B4" s="7" t="s">
        <v>146</v>
      </c>
      <c r="C4" s="7" t="s">
        <v>24</v>
      </c>
      <c r="D4" s="7">
        <v>35.0</v>
      </c>
      <c r="E4" s="41">
        <v>1529.71</v>
      </c>
    </row>
    <row r="5" ht="15.75" customHeight="1">
      <c r="A5" s="7"/>
      <c r="B5" s="7" t="s">
        <v>162</v>
      </c>
      <c r="C5" s="7" t="s">
        <v>24</v>
      </c>
      <c r="D5" s="7">
        <v>71.0</v>
      </c>
      <c r="E5" s="41">
        <v>1362.37</v>
      </c>
    </row>
    <row r="6" ht="15.75" customHeight="1">
      <c r="A6" s="7"/>
      <c r="B6" s="7"/>
      <c r="C6" s="7"/>
      <c r="D6" s="7"/>
      <c r="E6" s="42"/>
    </row>
    <row r="7" ht="15.75" customHeight="1">
      <c r="A7" s="40" t="s">
        <v>163</v>
      </c>
      <c r="B7" s="7" t="s">
        <v>164</v>
      </c>
      <c r="C7" s="7" t="s">
        <v>24</v>
      </c>
      <c r="D7" s="7">
        <v>30.0</v>
      </c>
      <c r="E7" s="41">
        <v>1557.47</v>
      </c>
    </row>
    <row r="8" ht="15.75" customHeight="1">
      <c r="A8" s="7"/>
      <c r="B8" s="7" t="s">
        <v>165</v>
      </c>
      <c r="C8" s="7" t="s">
        <v>24</v>
      </c>
      <c r="D8" s="7">
        <v>42.0</v>
      </c>
      <c r="E8" s="41">
        <v>1487.13</v>
      </c>
    </row>
    <row r="9" ht="15.75" customHeight="1">
      <c r="A9" s="7"/>
      <c r="B9" s="7" t="s">
        <v>151</v>
      </c>
      <c r="C9" s="7" t="s">
        <v>24</v>
      </c>
      <c r="D9" s="7">
        <v>34.0</v>
      </c>
      <c r="E9" s="43">
        <v>1532.04</v>
      </c>
    </row>
    <row r="10" ht="15.75" customHeight="1">
      <c r="A10" s="7"/>
      <c r="B10" s="7" t="s">
        <v>166</v>
      </c>
      <c r="C10" s="7" t="s">
        <v>24</v>
      </c>
      <c r="D10" s="7">
        <v>63.0</v>
      </c>
      <c r="E10" s="41">
        <v>1401.07</v>
      </c>
    </row>
    <row r="11" ht="15.75" customHeight="1">
      <c r="A11" s="7"/>
      <c r="B11" s="7"/>
      <c r="C11" s="7"/>
      <c r="D11" s="7"/>
      <c r="E11" s="42"/>
    </row>
    <row r="12" ht="15.75" customHeight="1">
      <c r="A12" s="40" t="s">
        <v>167</v>
      </c>
      <c r="B12" s="7" t="s">
        <v>168</v>
      </c>
      <c r="C12" s="7" t="s">
        <v>24</v>
      </c>
      <c r="D12" s="7">
        <v>25.0</v>
      </c>
      <c r="E12" s="41">
        <v>1582.69</v>
      </c>
    </row>
    <row r="13" ht="15.75" customHeight="1">
      <c r="A13" s="7"/>
      <c r="B13" s="7" t="s">
        <v>169</v>
      </c>
      <c r="C13" s="7" t="s">
        <v>24</v>
      </c>
      <c r="D13" s="7">
        <v>49.0</v>
      </c>
      <c r="E13" s="41">
        <v>1465.78</v>
      </c>
    </row>
    <row r="14" ht="15.75" customHeight="1">
      <c r="A14" s="7"/>
      <c r="B14" s="7" t="s">
        <v>170</v>
      </c>
      <c r="C14" s="7" t="s">
        <v>24</v>
      </c>
      <c r="D14" s="7">
        <v>44.0</v>
      </c>
      <c r="E14" s="44">
        <v>1485.65</v>
      </c>
    </row>
    <row r="15" ht="15.75" customHeight="1">
      <c r="A15" s="7"/>
      <c r="B15" s="7" t="s">
        <v>171</v>
      </c>
      <c r="C15" s="7" t="s">
        <v>24</v>
      </c>
      <c r="D15" s="7">
        <v>79.0</v>
      </c>
      <c r="E15" s="41">
        <v>1308.84</v>
      </c>
    </row>
    <row r="16" ht="15.75" customHeight="1">
      <c r="A16" s="7"/>
      <c r="B16" s="7"/>
      <c r="C16" s="7"/>
      <c r="D16" s="7"/>
      <c r="E16" s="42"/>
    </row>
    <row r="17" ht="15.75" customHeight="1">
      <c r="A17" s="40" t="s">
        <v>172</v>
      </c>
      <c r="B17" s="7" t="s">
        <v>149</v>
      </c>
      <c r="C17" s="7" t="s">
        <v>24</v>
      </c>
      <c r="D17" s="7">
        <v>21.0</v>
      </c>
      <c r="E17" s="41">
        <v>1616.75</v>
      </c>
    </row>
    <row r="18" ht="15.75" customHeight="1">
      <c r="A18" s="7"/>
      <c r="B18" s="7" t="s">
        <v>173</v>
      </c>
      <c r="C18" s="7" t="s">
        <v>24</v>
      </c>
      <c r="D18" s="7">
        <v>66.0</v>
      </c>
      <c r="E18" s="41">
        <v>1378.57</v>
      </c>
    </row>
    <row r="19" ht="15.75" customHeight="1">
      <c r="A19" s="7"/>
      <c r="B19" s="7" t="s">
        <v>174</v>
      </c>
      <c r="C19" s="7" t="s">
        <v>24</v>
      </c>
      <c r="D19" s="7">
        <v>43.0</v>
      </c>
      <c r="E19" s="41">
        <v>1487.0</v>
      </c>
    </row>
    <row r="20" ht="15.75" customHeight="1">
      <c r="A20" s="7"/>
      <c r="B20" s="7" t="s">
        <v>175</v>
      </c>
      <c r="C20" s="7" t="s">
        <v>24</v>
      </c>
      <c r="D20" s="7">
        <v>59.0</v>
      </c>
      <c r="E20" s="41">
        <v>1436.04</v>
      </c>
    </row>
    <row r="21" ht="15.75" customHeight="1">
      <c r="A21" s="7"/>
      <c r="B21" s="7"/>
      <c r="C21" s="7"/>
      <c r="D21" s="7"/>
      <c r="E21" s="42"/>
    </row>
    <row r="22" ht="15.75" customHeight="1">
      <c r="A22" s="40" t="s">
        <v>176</v>
      </c>
      <c r="B22" s="40" t="s">
        <v>177</v>
      </c>
      <c r="C22" s="7" t="s">
        <v>129</v>
      </c>
      <c r="D22" s="7">
        <v>48.0</v>
      </c>
      <c r="E22" s="41">
        <v>1468.22</v>
      </c>
    </row>
    <row r="23" ht="15.75" customHeight="1">
      <c r="A23" s="7"/>
      <c r="B23" s="7" t="s">
        <v>178</v>
      </c>
      <c r="C23" s="7" t="s">
        <v>129</v>
      </c>
      <c r="D23" s="45">
        <v>150.0</v>
      </c>
      <c r="E23" s="41">
        <v>1042.62</v>
      </c>
    </row>
    <row r="24" ht="15.75" customHeight="1">
      <c r="A24" s="7"/>
      <c r="B24" s="7" t="s">
        <v>179</v>
      </c>
      <c r="C24" s="7" t="s">
        <v>129</v>
      </c>
      <c r="D24" s="7">
        <v>70.0</v>
      </c>
      <c r="E24" s="41">
        <v>1362.46</v>
      </c>
    </row>
    <row r="25" ht="15.75" customHeight="1">
      <c r="A25" s="7"/>
      <c r="B25" s="7"/>
      <c r="C25" s="7"/>
      <c r="D25" s="7"/>
      <c r="E25" s="42"/>
    </row>
    <row r="26" ht="15.75" customHeight="1">
      <c r="A26" s="40" t="s">
        <v>180</v>
      </c>
      <c r="B26" s="40" t="s">
        <v>181</v>
      </c>
      <c r="C26" s="7" t="s">
        <v>129</v>
      </c>
      <c r="D26" s="7">
        <v>58.0</v>
      </c>
      <c r="E26" s="41">
        <v>1436.94</v>
      </c>
    </row>
    <row r="27" ht="15.75" customHeight="1">
      <c r="A27" s="7"/>
      <c r="B27" s="7" t="s">
        <v>182</v>
      </c>
      <c r="C27" s="7" t="s">
        <v>129</v>
      </c>
      <c r="D27" s="7">
        <v>76.0</v>
      </c>
      <c r="E27" s="41">
        <v>1329.56</v>
      </c>
    </row>
    <row r="28" ht="15.75" customHeight="1">
      <c r="A28" s="7"/>
      <c r="B28" s="7" t="s">
        <v>183</v>
      </c>
      <c r="C28" s="7" t="s">
        <v>129</v>
      </c>
      <c r="D28" s="45">
        <v>123.0</v>
      </c>
      <c r="E28" s="41">
        <v>1140.54</v>
      </c>
    </row>
    <row r="29" ht="15.75" customHeight="1">
      <c r="A29" s="22"/>
      <c r="B29" s="22"/>
      <c r="C29" s="22"/>
      <c r="E29" s="46"/>
    </row>
    <row r="30" ht="15.75" customHeight="1">
      <c r="A30" s="22"/>
      <c r="B30" s="22"/>
      <c r="C30" s="22"/>
    </row>
    <row r="31" ht="15.75" customHeight="1">
      <c r="A31" s="22"/>
      <c r="B31" s="22"/>
      <c r="C31" s="22"/>
    </row>
    <row r="32" ht="15.75" customHeight="1">
      <c r="A32" s="22"/>
      <c r="B32" s="22"/>
      <c r="C32" s="22"/>
    </row>
    <row r="33" ht="15.75" customHeight="1">
      <c r="A33" s="22"/>
      <c r="B33" s="22"/>
      <c r="C33" s="22"/>
    </row>
    <row r="34" ht="15.75" customHeight="1">
      <c r="A34" s="22"/>
      <c r="B34" s="22"/>
      <c r="C34" s="22"/>
    </row>
    <row r="35" ht="15.75" customHeight="1">
      <c r="A35" s="22"/>
      <c r="B35" s="22"/>
      <c r="C35" s="22"/>
    </row>
    <row r="36" ht="15.75" customHeight="1">
      <c r="A36" s="22"/>
      <c r="B36" s="22"/>
      <c r="C36" s="22"/>
    </row>
    <row r="37" ht="15.75" customHeight="1">
      <c r="A37" s="22"/>
      <c r="B37" s="22"/>
      <c r="C37" s="22"/>
    </row>
    <row r="38" ht="15.75" customHeight="1">
      <c r="A38" s="22"/>
      <c r="B38" s="22"/>
      <c r="C38" s="22"/>
    </row>
    <row r="39" ht="15.75" customHeight="1">
      <c r="A39" s="22"/>
      <c r="B39" s="22"/>
      <c r="C39" s="22"/>
    </row>
    <row r="40" ht="15.75" customHeight="1">
      <c r="A40" s="22"/>
      <c r="B40" s="22"/>
      <c r="C40" s="22"/>
    </row>
    <row r="41" ht="15.75" customHeight="1">
      <c r="A41" s="22"/>
      <c r="B41" s="22"/>
      <c r="C41" s="22"/>
    </row>
    <row r="42" ht="15.75" customHeight="1">
      <c r="A42" s="22"/>
      <c r="B42" s="22"/>
      <c r="C42" s="22"/>
    </row>
    <row r="43" ht="15.75" customHeight="1">
      <c r="A43" s="22"/>
      <c r="B43" s="22"/>
      <c r="C43" s="22"/>
    </row>
    <row r="44" ht="15.75" customHeight="1">
      <c r="A44" s="22"/>
      <c r="B44" s="22"/>
      <c r="C44" s="22"/>
    </row>
    <row r="45" ht="15.75" customHeight="1">
      <c r="A45" s="22"/>
      <c r="B45" s="22"/>
      <c r="C45" s="22"/>
    </row>
    <row r="46" ht="15.75" customHeight="1">
      <c r="A46" s="22"/>
      <c r="B46" s="22"/>
      <c r="C46" s="22"/>
    </row>
    <row r="47" ht="15.75" customHeight="1">
      <c r="A47" s="22"/>
      <c r="B47" s="22"/>
      <c r="C47" s="22"/>
    </row>
    <row r="48" ht="15.75" customHeight="1">
      <c r="A48" s="22"/>
      <c r="B48" s="22"/>
      <c r="C48" s="22"/>
    </row>
    <row r="49" ht="15.75" customHeight="1">
      <c r="A49" s="22"/>
      <c r="B49" s="22"/>
      <c r="C49" s="22"/>
    </row>
    <row r="50" ht="15.75" customHeight="1">
      <c r="A50" s="22"/>
      <c r="B50" s="22"/>
      <c r="C50" s="22"/>
    </row>
    <row r="51" ht="15.75" customHeight="1">
      <c r="A51" s="22"/>
      <c r="B51" s="22"/>
      <c r="C51" s="22"/>
    </row>
    <row r="52" ht="15.75" customHeight="1">
      <c r="A52" s="22"/>
      <c r="B52" s="22"/>
      <c r="C52" s="22"/>
    </row>
    <row r="53" ht="15.75" customHeight="1">
      <c r="A53" s="22"/>
      <c r="B53" s="22"/>
      <c r="C53" s="22"/>
    </row>
    <row r="54" ht="15.75" customHeight="1">
      <c r="A54" s="22"/>
      <c r="B54" s="22"/>
      <c r="C54" s="22"/>
    </row>
    <row r="55" ht="15.75" customHeight="1">
      <c r="A55" s="22"/>
      <c r="B55" s="22"/>
      <c r="C55" s="22"/>
    </row>
    <row r="56" ht="15.75" customHeight="1">
      <c r="A56" s="22"/>
      <c r="B56" s="22"/>
      <c r="C56" s="22"/>
    </row>
    <row r="57" ht="15.75" customHeight="1">
      <c r="A57" s="22"/>
      <c r="B57" s="22"/>
      <c r="C57" s="22"/>
    </row>
    <row r="58" ht="15.75" customHeight="1">
      <c r="A58" s="22"/>
      <c r="B58" s="22"/>
      <c r="C58" s="22"/>
    </row>
    <row r="59" ht="15.75" customHeight="1">
      <c r="A59" s="22"/>
      <c r="B59" s="22"/>
      <c r="C59" s="22"/>
    </row>
    <row r="60" ht="15.75" customHeight="1">
      <c r="A60" s="22"/>
      <c r="B60" s="22"/>
      <c r="C60" s="22"/>
    </row>
    <row r="61" ht="15.75" customHeight="1">
      <c r="A61" s="22"/>
      <c r="B61" s="22"/>
      <c r="C61" s="22"/>
    </row>
    <row r="62" ht="15.75" customHeight="1">
      <c r="A62" s="22"/>
      <c r="B62" s="22"/>
      <c r="C62" s="22"/>
    </row>
    <row r="63" ht="15.75" customHeight="1">
      <c r="A63" s="22"/>
      <c r="B63" s="22"/>
      <c r="C63" s="22"/>
    </row>
    <row r="64" ht="15.75" customHeight="1">
      <c r="A64" s="22"/>
      <c r="B64" s="22"/>
      <c r="C64" s="22"/>
    </row>
    <row r="65" ht="15.75" customHeight="1">
      <c r="A65" s="22"/>
      <c r="B65" s="22"/>
      <c r="C65" s="22"/>
    </row>
    <row r="66" ht="15.75" customHeight="1">
      <c r="A66" s="22"/>
      <c r="B66" s="22"/>
      <c r="C66" s="22"/>
    </row>
    <row r="67" ht="15.75" customHeight="1">
      <c r="A67" s="22"/>
      <c r="B67" s="22"/>
      <c r="C67" s="22"/>
    </row>
    <row r="68" ht="15.75" customHeight="1">
      <c r="A68" s="22"/>
      <c r="B68" s="22"/>
      <c r="C68" s="22"/>
    </row>
    <row r="69" ht="15.75" customHeight="1">
      <c r="A69" s="22"/>
      <c r="B69" s="22"/>
      <c r="C69" s="22"/>
    </row>
    <row r="70" ht="15.75" customHeight="1">
      <c r="A70" s="22"/>
      <c r="B70" s="22"/>
      <c r="C70" s="22"/>
    </row>
    <row r="71" ht="15.75" customHeight="1">
      <c r="A71" s="22"/>
      <c r="B71" s="22"/>
      <c r="C71" s="22"/>
    </row>
    <row r="72" ht="15.75" customHeight="1">
      <c r="A72" s="22"/>
      <c r="B72" s="22"/>
      <c r="C72" s="22"/>
    </row>
    <row r="73" ht="15.75" customHeight="1">
      <c r="A73" s="22"/>
      <c r="B73" s="22"/>
      <c r="C73" s="22"/>
    </row>
    <row r="74" ht="15.75" customHeight="1">
      <c r="A74" s="22"/>
      <c r="B74" s="22"/>
      <c r="C74" s="22"/>
    </row>
    <row r="75" ht="15.75" customHeight="1">
      <c r="A75" s="22"/>
      <c r="B75" s="22"/>
      <c r="C75" s="22"/>
    </row>
    <row r="76" ht="15.75" customHeight="1">
      <c r="A76" s="22"/>
      <c r="B76" s="22"/>
      <c r="C76" s="22"/>
    </row>
    <row r="77" ht="15.75" customHeight="1">
      <c r="A77" s="22"/>
      <c r="B77" s="22"/>
      <c r="C77" s="22"/>
    </row>
    <row r="78" ht="15.75" customHeight="1">
      <c r="A78" s="22"/>
      <c r="B78" s="22"/>
      <c r="C78" s="22"/>
    </row>
    <row r="79" ht="15.75" customHeight="1">
      <c r="A79" s="22"/>
      <c r="B79" s="22"/>
      <c r="C79" s="22"/>
    </row>
    <row r="80" ht="15.75" customHeight="1">
      <c r="A80" s="22"/>
      <c r="B80" s="22"/>
      <c r="C80" s="22"/>
    </row>
    <row r="81" ht="15.75" customHeight="1">
      <c r="A81" s="22"/>
      <c r="B81" s="22"/>
      <c r="C81" s="22"/>
    </row>
    <row r="82" ht="15.75" customHeight="1">
      <c r="A82" s="22"/>
      <c r="B82" s="22"/>
      <c r="C82" s="22"/>
    </row>
    <row r="83" ht="15.75" customHeight="1">
      <c r="A83" s="22"/>
      <c r="B83" s="22"/>
      <c r="C83" s="22"/>
    </row>
    <row r="84" ht="15.75" customHeight="1">
      <c r="A84" s="22"/>
      <c r="B84" s="22"/>
      <c r="C84" s="22"/>
    </row>
    <row r="85" ht="15.75" customHeight="1">
      <c r="A85" s="22"/>
      <c r="B85" s="22"/>
      <c r="C85" s="22"/>
    </row>
    <row r="86" ht="15.75" customHeight="1">
      <c r="A86" s="22"/>
      <c r="B86" s="22"/>
      <c r="C86" s="22"/>
    </row>
    <row r="87" ht="15.75" customHeight="1">
      <c r="A87" s="22"/>
      <c r="B87" s="22"/>
      <c r="C87" s="22"/>
    </row>
    <row r="88" ht="15.75" customHeight="1">
      <c r="A88" s="22"/>
      <c r="B88" s="22"/>
      <c r="C88" s="22"/>
    </row>
    <row r="89" ht="15.75" customHeight="1">
      <c r="A89" s="22"/>
      <c r="B89" s="22"/>
      <c r="C89" s="22"/>
    </row>
    <row r="90" ht="15.75" customHeight="1">
      <c r="A90" s="22"/>
      <c r="B90" s="22"/>
      <c r="C90" s="22"/>
    </row>
    <row r="91" ht="15.75" customHeight="1">
      <c r="A91" s="22"/>
      <c r="B91" s="22"/>
      <c r="C91" s="22"/>
    </row>
    <row r="92" ht="15.75" customHeight="1">
      <c r="A92" s="22"/>
      <c r="B92" s="22"/>
      <c r="C92" s="22"/>
    </row>
    <row r="93" ht="15.75" customHeight="1">
      <c r="A93" s="22"/>
      <c r="B93" s="22"/>
      <c r="C93" s="22"/>
    </row>
    <row r="94" ht="15.75" customHeight="1">
      <c r="A94" s="22"/>
      <c r="B94" s="22"/>
      <c r="C94" s="22"/>
    </row>
    <row r="95" ht="15.75" customHeight="1">
      <c r="A95" s="22"/>
      <c r="B95" s="22"/>
      <c r="C95" s="22"/>
    </row>
    <row r="96" ht="15.75" customHeight="1">
      <c r="A96" s="22"/>
      <c r="B96" s="22"/>
      <c r="C96" s="22"/>
    </row>
    <row r="97" ht="15.75" customHeight="1">
      <c r="A97" s="22"/>
      <c r="B97" s="22"/>
      <c r="C97" s="22"/>
    </row>
    <row r="98" ht="15.75" customHeight="1">
      <c r="A98" s="22"/>
      <c r="B98" s="22"/>
      <c r="C98" s="22"/>
    </row>
    <row r="99" ht="15.75" customHeight="1">
      <c r="A99" s="22"/>
      <c r="B99" s="22"/>
      <c r="C99" s="22"/>
    </row>
    <row r="100" ht="15.75" customHeight="1">
      <c r="A100" s="22"/>
      <c r="B100" s="22"/>
      <c r="C100" s="22"/>
    </row>
    <row r="101" ht="15.75" customHeight="1">
      <c r="A101" s="22"/>
      <c r="B101" s="22"/>
      <c r="C101" s="22"/>
    </row>
    <row r="102" ht="15.75" customHeight="1">
      <c r="A102" s="22"/>
      <c r="B102" s="22"/>
      <c r="C102" s="22"/>
    </row>
    <row r="103" ht="15.75" customHeight="1">
      <c r="A103" s="22"/>
      <c r="B103" s="22"/>
      <c r="C103" s="22"/>
    </row>
    <row r="104" ht="15.75" customHeight="1">
      <c r="A104" s="22"/>
      <c r="B104" s="22"/>
      <c r="C104" s="22"/>
    </row>
    <row r="105" ht="15.75" customHeight="1">
      <c r="A105" s="22"/>
      <c r="B105" s="22"/>
      <c r="C105" s="22"/>
    </row>
    <row r="106" ht="15.75" customHeight="1">
      <c r="A106" s="22"/>
      <c r="B106" s="22"/>
      <c r="C106" s="22"/>
    </row>
    <row r="107" ht="15.75" customHeight="1">
      <c r="A107" s="22"/>
      <c r="B107" s="22"/>
      <c r="C107" s="22"/>
    </row>
    <row r="108" ht="15.75" customHeight="1">
      <c r="A108" s="22"/>
      <c r="B108" s="22"/>
      <c r="C108" s="22"/>
    </row>
    <row r="109" ht="15.75" customHeight="1">
      <c r="A109" s="22"/>
      <c r="B109" s="22"/>
      <c r="C109" s="22"/>
    </row>
    <row r="110" ht="15.75" customHeight="1">
      <c r="A110" s="22"/>
      <c r="B110" s="22"/>
      <c r="C110" s="22"/>
    </row>
    <row r="111" ht="15.75" customHeight="1">
      <c r="A111" s="22"/>
      <c r="B111" s="22"/>
      <c r="C111" s="22"/>
    </row>
    <row r="112" ht="15.75" customHeight="1">
      <c r="A112" s="22"/>
      <c r="B112" s="22"/>
      <c r="C112" s="22"/>
    </row>
    <row r="113" ht="15.75" customHeight="1">
      <c r="A113" s="22"/>
      <c r="B113" s="22"/>
      <c r="C113" s="22"/>
    </row>
    <row r="114" ht="15.75" customHeight="1">
      <c r="A114" s="22"/>
      <c r="B114" s="22"/>
      <c r="C114" s="22"/>
    </row>
    <row r="115" ht="15.75" customHeight="1">
      <c r="A115" s="22"/>
      <c r="B115" s="22"/>
      <c r="C115" s="22"/>
    </row>
    <row r="116" ht="15.75" customHeight="1">
      <c r="A116" s="22"/>
      <c r="B116" s="22"/>
      <c r="C116" s="22"/>
    </row>
    <row r="117" ht="15.75" customHeight="1">
      <c r="A117" s="22"/>
      <c r="B117" s="22"/>
      <c r="C117" s="22"/>
    </row>
    <row r="118" ht="15.75" customHeight="1">
      <c r="A118" s="22"/>
      <c r="B118" s="22"/>
      <c r="C118" s="22"/>
    </row>
    <row r="119" ht="15.75" customHeight="1">
      <c r="A119" s="22"/>
      <c r="B119" s="22"/>
      <c r="C119" s="22"/>
    </row>
    <row r="120" ht="15.75" customHeight="1">
      <c r="A120" s="22"/>
      <c r="B120" s="22"/>
      <c r="C120" s="22"/>
    </row>
    <row r="121" ht="15.75" customHeight="1">
      <c r="A121" s="22"/>
      <c r="B121" s="22"/>
      <c r="C121" s="22"/>
    </row>
    <row r="122" ht="15.75" customHeight="1">
      <c r="A122" s="22"/>
      <c r="B122" s="22"/>
      <c r="C122" s="22"/>
    </row>
    <row r="123" ht="15.75" customHeight="1">
      <c r="A123" s="22"/>
      <c r="B123" s="22"/>
      <c r="C123" s="22"/>
    </row>
    <row r="124" ht="15.75" customHeight="1">
      <c r="A124" s="22"/>
      <c r="B124" s="22"/>
      <c r="C124" s="22"/>
    </row>
    <row r="125" ht="15.75" customHeight="1">
      <c r="A125" s="22"/>
      <c r="B125" s="22"/>
      <c r="C125" s="22"/>
    </row>
    <row r="126" ht="15.75" customHeight="1">
      <c r="A126" s="22"/>
      <c r="B126" s="22"/>
      <c r="C126" s="22"/>
    </row>
    <row r="127" ht="15.75" customHeight="1">
      <c r="A127" s="22"/>
      <c r="B127" s="22"/>
      <c r="C127" s="22"/>
    </row>
    <row r="128" ht="15.75" customHeight="1">
      <c r="A128" s="22"/>
      <c r="B128" s="22"/>
      <c r="C128" s="22"/>
    </row>
    <row r="129" ht="15.75" customHeight="1">
      <c r="A129" s="22"/>
      <c r="B129" s="22"/>
      <c r="C129" s="22"/>
    </row>
    <row r="130" ht="15.75" customHeight="1">
      <c r="A130" s="22"/>
      <c r="B130" s="22"/>
      <c r="C130" s="22"/>
    </row>
    <row r="131" ht="15.75" customHeight="1">
      <c r="A131" s="22"/>
      <c r="B131" s="22"/>
      <c r="C131" s="22"/>
    </row>
    <row r="132" ht="15.75" customHeight="1">
      <c r="A132" s="22"/>
      <c r="B132" s="22"/>
      <c r="C132" s="22"/>
    </row>
    <row r="133" ht="15.75" customHeight="1">
      <c r="A133" s="22"/>
      <c r="B133" s="22"/>
      <c r="C133" s="22"/>
    </row>
    <row r="134" ht="15.75" customHeight="1">
      <c r="A134" s="22"/>
      <c r="B134" s="22"/>
      <c r="C134" s="22"/>
    </row>
    <row r="135" ht="15.75" customHeight="1">
      <c r="A135" s="22"/>
      <c r="B135" s="22"/>
      <c r="C135" s="22"/>
    </row>
    <row r="136" ht="15.75" customHeight="1">
      <c r="A136" s="22"/>
      <c r="B136" s="22"/>
      <c r="C136" s="22"/>
    </row>
    <row r="137" ht="15.75" customHeight="1">
      <c r="A137" s="22"/>
      <c r="B137" s="22"/>
      <c r="C137" s="22"/>
    </row>
    <row r="138" ht="15.75" customHeight="1">
      <c r="A138" s="22"/>
      <c r="B138" s="22"/>
      <c r="C138" s="22"/>
    </row>
    <row r="139" ht="15.75" customHeight="1">
      <c r="A139" s="22"/>
      <c r="B139" s="22"/>
      <c r="C139" s="22"/>
    </row>
    <row r="140" ht="15.75" customHeight="1">
      <c r="A140" s="22"/>
      <c r="B140" s="22"/>
      <c r="C140" s="22"/>
    </row>
    <row r="141" ht="15.75" customHeight="1">
      <c r="A141" s="22"/>
      <c r="B141" s="22"/>
      <c r="C141" s="22"/>
    </row>
    <row r="142" ht="15.75" customHeight="1">
      <c r="A142" s="22"/>
      <c r="B142" s="22"/>
      <c r="C142" s="22"/>
    </row>
    <row r="143" ht="15.75" customHeight="1">
      <c r="A143" s="22"/>
      <c r="B143" s="22"/>
      <c r="C143" s="22"/>
    </row>
    <row r="144" ht="15.75" customHeight="1">
      <c r="A144" s="22"/>
      <c r="B144" s="22"/>
      <c r="C144" s="22"/>
    </row>
    <row r="145" ht="15.75" customHeight="1">
      <c r="A145" s="22"/>
      <c r="B145" s="22"/>
      <c r="C145" s="22"/>
    </row>
    <row r="146" ht="15.75" customHeight="1">
      <c r="A146" s="22"/>
      <c r="B146" s="22"/>
      <c r="C146" s="22"/>
    </row>
    <row r="147" ht="15.75" customHeight="1">
      <c r="A147" s="22"/>
      <c r="B147" s="22"/>
      <c r="C147" s="22"/>
    </row>
    <row r="148" ht="15.75" customHeight="1">
      <c r="A148" s="22"/>
      <c r="B148" s="22"/>
      <c r="C148" s="22"/>
    </row>
    <row r="149" ht="15.75" customHeight="1">
      <c r="A149" s="22"/>
      <c r="B149" s="22"/>
      <c r="C149" s="22"/>
    </row>
    <row r="150" ht="15.75" customHeight="1">
      <c r="A150" s="22"/>
      <c r="B150" s="22"/>
      <c r="C150" s="22"/>
    </row>
    <row r="151" ht="15.75" customHeight="1">
      <c r="A151" s="22"/>
      <c r="B151" s="22"/>
      <c r="C151" s="22"/>
    </row>
    <row r="152" ht="15.75" customHeight="1">
      <c r="A152" s="22"/>
      <c r="B152" s="22"/>
      <c r="C152" s="22"/>
    </row>
    <row r="153" ht="15.75" customHeight="1">
      <c r="A153" s="22"/>
      <c r="B153" s="22"/>
      <c r="C153" s="22"/>
    </row>
    <row r="154" ht="15.75" customHeight="1">
      <c r="A154" s="22"/>
      <c r="B154" s="22"/>
      <c r="C154" s="22"/>
    </row>
    <row r="155" ht="15.75" customHeight="1">
      <c r="A155" s="22"/>
      <c r="B155" s="22"/>
      <c r="C155" s="22"/>
    </row>
    <row r="156" ht="15.75" customHeight="1">
      <c r="A156" s="22"/>
      <c r="B156" s="22"/>
      <c r="C156" s="22"/>
    </row>
    <row r="157" ht="15.75" customHeight="1">
      <c r="A157" s="22"/>
      <c r="B157" s="22"/>
      <c r="C157" s="22"/>
    </row>
    <row r="158" ht="15.75" customHeight="1">
      <c r="A158" s="22"/>
      <c r="B158" s="22"/>
      <c r="C158" s="22"/>
    </row>
    <row r="159" ht="15.75" customHeight="1">
      <c r="A159" s="22"/>
      <c r="B159" s="22"/>
      <c r="C159" s="22"/>
    </row>
    <row r="160" ht="15.75" customHeight="1">
      <c r="A160" s="22"/>
      <c r="B160" s="22"/>
      <c r="C160" s="22"/>
    </row>
    <row r="161" ht="15.75" customHeight="1">
      <c r="A161" s="22"/>
      <c r="B161" s="22"/>
      <c r="C161" s="22"/>
    </row>
    <row r="162" ht="15.75" customHeight="1">
      <c r="A162" s="22"/>
      <c r="B162" s="22"/>
      <c r="C162" s="22"/>
    </row>
    <row r="163" ht="15.75" customHeight="1">
      <c r="A163" s="22"/>
      <c r="B163" s="22"/>
      <c r="C163" s="22"/>
    </row>
    <row r="164" ht="15.75" customHeight="1">
      <c r="A164" s="22"/>
      <c r="B164" s="22"/>
      <c r="C164" s="22"/>
    </row>
    <row r="165" ht="15.75" customHeight="1">
      <c r="A165" s="22"/>
      <c r="B165" s="22"/>
      <c r="C165" s="22"/>
    </row>
    <row r="166" ht="15.75" customHeight="1">
      <c r="A166" s="22"/>
      <c r="B166" s="22"/>
      <c r="C166" s="22"/>
    </row>
    <row r="167" ht="15.75" customHeight="1">
      <c r="A167" s="22"/>
      <c r="B167" s="22"/>
      <c r="C167" s="22"/>
    </row>
    <row r="168" ht="15.75" customHeight="1">
      <c r="A168" s="22"/>
      <c r="B168" s="22"/>
      <c r="C168" s="22"/>
    </row>
    <row r="169" ht="15.75" customHeight="1">
      <c r="A169" s="22"/>
      <c r="B169" s="22"/>
      <c r="C169" s="22"/>
    </row>
    <row r="170" ht="15.75" customHeight="1">
      <c r="A170" s="22"/>
      <c r="B170" s="22"/>
      <c r="C170" s="22"/>
    </row>
    <row r="171" ht="15.75" customHeight="1">
      <c r="A171" s="22"/>
      <c r="B171" s="22"/>
      <c r="C171" s="22"/>
    </row>
    <row r="172" ht="15.75" customHeight="1">
      <c r="A172" s="22"/>
      <c r="B172" s="22"/>
      <c r="C172" s="22"/>
    </row>
    <row r="173" ht="15.75" customHeight="1">
      <c r="A173" s="22"/>
      <c r="B173" s="22"/>
      <c r="C173" s="22"/>
    </row>
    <row r="174" ht="15.75" customHeight="1">
      <c r="A174" s="22"/>
      <c r="B174" s="22"/>
      <c r="C174" s="22"/>
    </row>
    <row r="175" ht="15.75" customHeight="1">
      <c r="A175" s="22"/>
      <c r="B175" s="22"/>
      <c r="C175" s="22"/>
    </row>
    <row r="176" ht="15.75" customHeight="1">
      <c r="A176" s="22"/>
      <c r="B176" s="22"/>
      <c r="C176" s="22"/>
    </row>
    <row r="177" ht="15.75" customHeight="1">
      <c r="A177" s="22"/>
      <c r="B177" s="22"/>
      <c r="C177" s="22"/>
    </row>
    <row r="178" ht="15.75" customHeight="1">
      <c r="A178" s="22"/>
      <c r="B178" s="22"/>
      <c r="C178" s="22"/>
    </row>
    <row r="179" ht="15.75" customHeight="1">
      <c r="A179" s="22"/>
      <c r="B179" s="22"/>
      <c r="C179" s="22"/>
    </row>
    <row r="180" ht="15.75" customHeight="1">
      <c r="A180" s="22"/>
      <c r="B180" s="22"/>
      <c r="C180" s="22"/>
    </row>
    <row r="181" ht="15.75" customHeight="1">
      <c r="A181" s="22"/>
      <c r="B181" s="22"/>
      <c r="C181" s="22"/>
    </row>
    <row r="182" ht="15.75" customHeight="1">
      <c r="A182" s="22"/>
      <c r="B182" s="22"/>
      <c r="C182" s="22"/>
    </row>
    <row r="183" ht="15.75" customHeight="1">
      <c r="A183" s="22"/>
      <c r="B183" s="22"/>
      <c r="C183" s="22"/>
    </row>
    <row r="184" ht="15.75" customHeight="1">
      <c r="A184" s="22"/>
      <c r="B184" s="22"/>
      <c r="C184" s="22"/>
    </row>
    <row r="185" ht="15.75" customHeight="1">
      <c r="A185" s="22"/>
      <c r="B185" s="22"/>
      <c r="C185" s="22"/>
    </row>
    <row r="186" ht="15.75" customHeight="1">
      <c r="A186" s="22"/>
      <c r="B186" s="22"/>
      <c r="C186" s="22"/>
    </row>
    <row r="187" ht="15.75" customHeight="1">
      <c r="A187" s="22"/>
      <c r="B187" s="22"/>
      <c r="C187" s="22"/>
    </row>
    <row r="188" ht="15.75" customHeight="1">
      <c r="A188" s="22"/>
      <c r="B188" s="22"/>
      <c r="C188" s="22"/>
    </row>
    <row r="189" ht="15.75" customHeight="1">
      <c r="A189" s="22"/>
      <c r="B189" s="22"/>
      <c r="C189" s="22"/>
    </row>
    <row r="190" ht="15.75" customHeight="1">
      <c r="A190" s="22"/>
      <c r="B190" s="22"/>
      <c r="C190" s="22"/>
    </row>
    <row r="191" ht="15.75" customHeight="1">
      <c r="A191" s="22"/>
      <c r="B191" s="22"/>
      <c r="C191" s="22"/>
    </row>
    <row r="192" ht="15.75" customHeight="1">
      <c r="A192" s="22"/>
      <c r="B192" s="22"/>
      <c r="C192" s="22"/>
    </row>
    <row r="193" ht="15.75" customHeight="1">
      <c r="A193" s="22"/>
      <c r="B193" s="22"/>
      <c r="C193" s="22"/>
    </row>
    <row r="194" ht="15.75" customHeight="1">
      <c r="A194" s="22"/>
      <c r="B194" s="22"/>
      <c r="C194" s="22"/>
    </row>
    <row r="195" ht="15.75" customHeight="1">
      <c r="A195" s="22"/>
      <c r="B195" s="22"/>
      <c r="C195" s="22"/>
    </row>
    <row r="196" ht="15.75" customHeight="1">
      <c r="A196" s="22"/>
      <c r="B196" s="22"/>
      <c r="C196" s="22"/>
    </row>
    <row r="197" ht="15.75" customHeight="1">
      <c r="A197" s="22"/>
      <c r="B197" s="22"/>
      <c r="C197" s="22"/>
    </row>
    <row r="198" ht="15.75" customHeight="1">
      <c r="A198" s="22"/>
      <c r="B198" s="22"/>
      <c r="C198" s="22"/>
    </row>
    <row r="199" ht="15.75" customHeight="1">
      <c r="A199" s="22"/>
      <c r="B199" s="22"/>
      <c r="C199" s="22"/>
    </row>
    <row r="200" ht="15.75" customHeight="1">
      <c r="A200" s="22"/>
      <c r="B200" s="22"/>
      <c r="C200" s="22"/>
    </row>
    <row r="201" ht="15.75" customHeight="1">
      <c r="A201" s="22"/>
      <c r="B201" s="22"/>
      <c r="C201" s="22"/>
    </row>
    <row r="202" ht="15.75" customHeight="1">
      <c r="A202" s="22"/>
      <c r="B202" s="22"/>
      <c r="C202" s="22"/>
    </row>
    <row r="203" ht="15.75" customHeight="1">
      <c r="A203" s="22"/>
      <c r="B203" s="22"/>
      <c r="C203" s="22"/>
    </row>
    <row r="204" ht="15.75" customHeight="1">
      <c r="A204" s="22"/>
      <c r="B204" s="22"/>
      <c r="C204" s="22"/>
    </row>
    <row r="205" ht="15.75" customHeight="1">
      <c r="A205" s="22"/>
      <c r="B205" s="22"/>
      <c r="C205" s="22"/>
    </row>
    <row r="206" ht="15.75" customHeight="1">
      <c r="A206" s="22"/>
      <c r="B206" s="22"/>
      <c r="C206" s="22"/>
    </row>
    <row r="207" ht="15.75" customHeight="1">
      <c r="A207" s="22"/>
      <c r="B207" s="22"/>
      <c r="C207" s="22"/>
    </row>
    <row r="208" ht="15.75" customHeight="1">
      <c r="A208" s="22"/>
      <c r="B208" s="22"/>
      <c r="C208" s="22"/>
    </row>
    <row r="209" ht="15.75" customHeight="1">
      <c r="A209" s="22"/>
      <c r="B209" s="22"/>
      <c r="C209" s="22"/>
    </row>
    <row r="210" ht="15.75" customHeight="1">
      <c r="A210" s="22"/>
      <c r="B210" s="22"/>
      <c r="C210" s="22"/>
    </row>
    <row r="211" ht="15.75" customHeight="1">
      <c r="A211" s="22"/>
      <c r="B211" s="22"/>
      <c r="C211" s="22"/>
    </row>
    <row r="212" ht="15.75" customHeight="1">
      <c r="A212" s="22"/>
      <c r="B212" s="22"/>
      <c r="C212" s="22"/>
    </row>
    <row r="213" ht="15.75" customHeight="1">
      <c r="A213" s="22"/>
      <c r="B213" s="22"/>
      <c r="C213" s="22"/>
    </row>
    <row r="214" ht="15.75" customHeight="1">
      <c r="A214" s="22"/>
      <c r="B214" s="22"/>
      <c r="C214" s="22"/>
    </row>
    <row r="215" ht="15.75" customHeight="1">
      <c r="A215" s="22"/>
      <c r="B215" s="22"/>
      <c r="C215" s="22"/>
    </row>
    <row r="216" ht="15.75" customHeight="1">
      <c r="A216" s="22"/>
      <c r="B216" s="22"/>
      <c r="C216" s="22"/>
    </row>
    <row r="217" ht="15.75" customHeight="1">
      <c r="A217" s="22"/>
      <c r="B217" s="22"/>
      <c r="C217" s="22"/>
    </row>
    <row r="218" ht="15.75" customHeight="1">
      <c r="A218" s="22"/>
      <c r="B218" s="22"/>
      <c r="C218" s="22"/>
    </row>
    <row r="219" ht="15.75" customHeight="1">
      <c r="A219" s="22"/>
      <c r="B219" s="22"/>
      <c r="C219" s="22"/>
    </row>
    <row r="220" ht="15.75" customHeight="1">
      <c r="A220" s="22"/>
      <c r="B220" s="22"/>
      <c r="C220" s="22"/>
    </row>
    <row r="221" ht="15.75" customHeight="1">
      <c r="A221" s="22"/>
      <c r="B221" s="22"/>
      <c r="C221" s="22"/>
    </row>
    <row r="222" ht="15.75" customHeight="1">
      <c r="A222" s="22"/>
      <c r="B222" s="22"/>
      <c r="C222" s="22"/>
    </row>
    <row r="223" ht="15.75" customHeight="1">
      <c r="A223" s="22"/>
      <c r="B223" s="22"/>
      <c r="C223" s="22"/>
    </row>
    <row r="224" ht="15.75" customHeight="1">
      <c r="A224" s="22"/>
      <c r="B224" s="22"/>
      <c r="C224" s="22"/>
    </row>
    <row r="225" ht="15.75" customHeight="1">
      <c r="A225" s="22"/>
      <c r="B225" s="22"/>
      <c r="C225" s="22"/>
    </row>
    <row r="226" ht="15.75" customHeight="1">
      <c r="A226" s="22"/>
      <c r="B226" s="22"/>
      <c r="C226" s="22"/>
    </row>
    <row r="227" ht="15.75" customHeight="1">
      <c r="A227" s="22"/>
      <c r="B227" s="22"/>
      <c r="C227" s="22"/>
    </row>
    <row r="228" ht="15.75" customHeight="1">
      <c r="A228" s="22"/>
      <c r="B228" s="22"/>
      <c r="C228" s="22"/>
    </row>
    <row r="229" ht="15.75" customHeight="1">
      <c r="A229" s="22"/>
      <c r="B229" s="22"/>
      <c r="C229" s="22"/>
    </row>
    <row r="230" ht="15.75" customHeight="1">
      <c r="A230" s="22"/>
      <c r="B230" s="22"/>
      <c r="C230" s="22"/>
    </row>
    <row r="231" ht="15.75" customHeight="1">
      <c r="A231" s="22"/>
      <c r="B231" s="22"/>
      <c r="C231" s="22"/>
    </row>
    <row r="232" ht="15.75" customHeight="1">
      <c r="A232" s="22"/>
      <c r="B232" s="22"/>
      <c r="C232" s="22"/>
    </row>
    <row r="233" ht="15.75" customHeight="1">
      <c r="A233" s="22"/>
      <c r="B233" s="22"/>
      <c r="C233" s="22"/>
    </row>
    <row r="234" ht="15.75" customHeight="1">
      <c r="A234" s="22"/>
      <c r="B234" s="22"/>
      <c r="C234" s="22"/>
    </row>
    <row r="235" ht="15.75" customHeight="1">
      <c r="A235" s="22"/>
      <c r="B235" s="22"/>
      <c r="C235" s="22"/>
    </row>
    <row r="236" ht="15.75" customHeight="1">
      <c r="A236" s="22"/>
      <c r="B236" s="22"/>
      <c r="C236" s="22"/>
    </row>
    <row r="237" ht="15.75" customHeight="1">
      <c r="A237" s="22"/>
      <c r="B237" s="22"/>
      <c r="C237" s="22"/>
    </row>
    <row r="238" ht="15.75" customHeight="1">
      <c r="A238" s="22"/>
      <c r="B238" s="22"/>
      <c r="C238" s="22"/>
    </row>
    <row r="239" ht="15.75" customHeight="1">
      <c r="A239" s="22"/>
      <c r="B239" s="22"/>
      <c r="C239" s="22"/>
    </row>
    <row r="240" ht="15.75" customHeight="1">
      <c r="A240" s="22"/>
      <c r="B240" s="22"/>
      <c r="C240" s="22"/>
    </row>
    <row r="241" ht="15.75" customHeight="1">
      <c r="A241" s="22"/>
      <c r="B241" s="22"/>
      <c r="C241" s="22"/>
    </row>
    <row r="242" ht="15.75" customHeight="1">
      <c r="A242" s="22"/>
      <c r="B242" s="22"/>
      <c r="C242" s="22"/>
    </row>
    <row r="243" ht="15.75" customHeight="1">
      <c r="A243" s="22"/>
      <c r="B243" s="22"/>
      <c r="C243" s="22"/>
    </row>
    <row r="244" ht="15.75" customHeight="1">
      <c r="A244" s="22"/>
      <c r="B244" s="22"/>
      <c r="C244" s="22"/>
    </row>
    <row r="245" ht="15.75" customHeight="1">
      <c r="A245" s="22"/>
      <c r="B245" s="22"/>
      <c r="C245" s="22"/>
    </row>
    <row r="246" ht="15.75" customHeight="1">
      <c r="A246" s="22"/>
      <c r="B246" s="22"/>
      <c r="C246" s="22"/>
    </row>
    <row r="247" ht="15.75" customHeight="1">
      <c r="A247" s="22"/>
      <c r="B247" s="22"/>
      <c r="C247" s="22"/>
    </row>
    <row r="248" ht="15.75" customHeight="1">
      <c r="A248" s="22"/>
      <c r="B248" s="22"/>
      <c r="C248" s="22"/>
    </row>
    <row r="249" ht="15.75" customHeight="1">
      <c r="A249" s="22"/>
      <c r="B249" s="22"/>
      <c r="C249" s="22"/>
    </row>
    <row r="250" ht="15.75" customHeight="1">
      <c r="A250" s="22"/>
      <c r="B250" s="22"/>
      <c r="C250" s="22"/>
    </row>
    <row r="251" ht="15.75" customHeight="1">
      <c r="A251" s="22"/>
      <c r="B251" s="22"/>
      <c r="C251" s="22"/>
    </row>
    <row r="252" ht="15.75" customHeight="1">
      <c r="A252" s="22"/>
      <c r="B252" s="22"/>
      <c r="C252" s="22"/>
    </row>
    <row r="253" ht="15.75" customHeight="1">
      <c r="A253" s="22"/>
      <c r="B253" s="22"/>
      <c r="C253" s="22"/>
    </row>
    <row r="254" ht="15.75" customHeight="1">
      <c r="A254" s="22"/>
      <c r="B254" s="22"/>
      <c r="C254" s="22"/>
    </row>
    <row r="255" ht="15.75" customHeight="1">
      <c r="A255" s="22"/>
      <c r="B255" s="22"/>
      <c r="C255" s="22"/>
    </row>
    <row r="256" ht="15.75" customHeight="1">
      <c r="A256" s="22"/>
      <c r="B256" s="22"/>
      <c r="C256" s="22"/>
    </row>
    <row r="257" ht="15.75" customHeight="1">
      <c r="A257" s="22"/>
      <c r="B257" s="22"/>
      <c r="C257" s="22"/>
    </row>
    <row r="258" ht="15.75" customHeight="1">
      <c r="A258" s="22"/>
      <c r="B258" s="22"/>
      <c r="C258" s="22"/>
    </row>
    <row r="259" ht="15.75" customHeight="1">
      <c r="A259" s="22"/>
      <c r="B259" s="22"/>
      <c r="C259" s="22"/>
    </row>
    <row r="260" ht="15.75" customHeight="1">
      <c r="A260" s="22"/>
      <c r="B260" s="22"/>
      <c r="C260" s="22"/>
    </row>
    <row r="261" ht="15.75" customHeight="1">
      <c r="A261" s="22"/>
      <c r="B261" s="22"/>
      <c r="C261" s="22"/>
    </row>
    <row r="262" ht="15.75" customHeight="1">
      <c r="A262" s="22"/>
      <c r="B262" s="22"/>
      <c r="C262" s="22"/>
    </row>
    <row r="263" ht="15.75" customHeight="1">
      <c r="A263" s="22"/>
      <c r="B263" s="22"/>
      <c r="C263" s="22"/>
    </row>
    <row r="264" ht="15.75" customHeight="1">
      <c r="A264" s="22"/>
      <c r="B264" s="22"/>
      <c r="C264" s="22"/>
    </row>
    <row r="265" ht="15.75" customHeight="1">
      <c r="A265" s="22"/>
      <c r="B265" s="22"/>
      <c r="C265" s="22"/>
    </row>
    <row r="266" ht="15.75" customHeight="1">
      <c r="A266" s="22"/>
      <c r="B266" s="22"/>
      <c r="C266" s="22"/>
    </row>
    <row r="267" ht="15.75" customHeight="1">
      <c r="A267" s="22"/>
      <c r="B267" s="22"/>
      <c r="C267" s="22"/>
    </row>
    <row r="268" ht="15.75" customHeight="1">
      <c r="A268" s="22"/>
      <c r="B268" s="22"/>
      <c r="C268" s="22"/>
    </row>
    <row r="269" ht="15.75" customHeight="1">
      <c r="A269" s="22"/>
      <c r="B269" s="22"/>
      <c r="C269" s="22"/>
    </row>
    <row r="270" ht="15.75" customHeight="1">
      <c r="A270" s="22"/>
      <c r="B270" s="22"/>
      <c r="C270" s="22"/>
    </row>
    <row r="271" ht="15.75" customHeight="1">
      <c r="A271" s="22"/>
      <c r="B271" s="22"/>
      <c r="C271" s="22"/>
    </row>
    <row r="272" ht="15.75" customHeight="1">
      <c r="A272" s="22"/>
      <c r="B272" s="22"/>
      <c r="C272" s="22"/>
    </row>
    <row r="273" ht="15.75" customHeight="1">
      <c r="A273" s="22"/>
      <c r="B273" s="22"/>
      <c r="C273" s="22"/>
    </row>
    <row r="274" ht="15.75" customHeight="1">
      <c r="A274" s="22"/>
      <c r="B274" s="22"/>
      <c r="C274" s="22"/>
    </row>
    <row r="275" ht="15.75" customHeight="1">
      <c r="A275" s="22"/>
      <c r="B275" s="22"/>
      <c r="C275" s="22"/>
    </row>
    <row r="276" ht="15.75" customHeight="1">
      <c r="A276" s="22"/>
      <c r="B276" s="22"/>
      <c r="C276" s="22"/>
    </row>
    <row r="277" ht="15.75" customHeight="1">
      <c r="A277" s="22"/>
      <c r="B277" s="22"/>
      <c r="C277" s="22"/>
    </row>
    <row r="278" ht="15.75" customHeight="1">
      <c r="A278" s="22"/>
      <c r="B278" s="22"/>
      <c r="C278" s="22"/>
    </row>
    <row r="279" ht="15.75" customHeight="1">
      <c r="A279" s="22"/>
      <c r="B279" s="22"/>
      <c r="C279" s="22"/>
    </row>
    <row r="280" ht="15.75" customHeight="1">
      <c r="A280" s="22"/>
      <c r="B280" s="22"/>
      <c r="C280" s="22"/>
    </row>
    <row r="281" ht="15.75" customHeight="1">
      <c r="A281" s="22"/>
      <c r="B281" s="22"/>
      <c r="C281" s="22"/>
    </row>
    <row r="282" ht="15.75" customHeight="1">
      <c r="A282" s="22"/>
      <c r="B282" s="22"/>
      <c r="C282" s="22"/>
    </row>
    <row r="283" ht="15.75" customHeight="1">
      <c r="A283" s="22"/>
      <c r="B283" s="22"/>
      <c r="C283" s="22"/>
    </row>
    <row r="284" ht="15.75" customHeight="1">
      <c r="A284" s="22"/>
      <c r="B284" s="22"/>
      <c r="C284" s="22"/>
    </row>
    <row r="285" ht="15.75" customHeight="1">
      <c r="A285" s="22"/>
      <c r="B285" s="22"/>
      <c r="C285" s="22"/>
    </row>
    <row r="286" ht="15.75" customHeight="1">
      <c r="A286" s="22"/>
      <c r="B286" s="22"/>
      <c r="C286" s="22"/>
    </row>
    <row r="287" ht="15.75" customHeight="1">
      <c r="A287" s="22"/>
      <c r="B287" s="22"/>
      <c r="C287" s="22"/>
    </row>
    <row r="288" ht="15.75" customHeight="1">
      <c r="A288" s="22"/>
      <c r="B288" s="22"/>
      <c r="C288" s="22"/>
    </row>
    <row r="289" ht="15.75" customHeight="1">
      <c r="A289" s="22"/>
      <c r="B289" s="22"/>
      <c r="C289" s="22"/>
    </row>
    <row r="290" ht="15.75" customHeight="1">
      <c r="A290" s="22"/>
      <c r="B290" s="22"/>
      <c r="C290" s="22"/>
    </row>
    <row r="291" ht="15.75" customHeight="1">
      <c r="A291" s="22"/>
      <c r="B291" s="22"/>
      <c r="C291" s="22"/>
    </row>
    <row r="292" ht="15.75" customHeight="1">
      <c r="A292" s="22"/>
      <c r="B292" s="22"/>
      <c r="C292" s="22"/>
    </row>
    <row r="293" ht="15.75" customHeight="1">
      <c r="A293" s="22"/>
      <c r="B293" s="22"/>
      <c r="C293" s="22"/>
    </row>
    <row r="294" ht="15.75" customHeight="1">
      <c r="A294" s="22"/>
      <c r="B294" s="22"/>
      <c r="C294" s="22"/>
    </row>
    <row r="295" ht="15.75" customHeight="1">
      <c r="A295" s="22"/>
      <c r="B295" s="22"/>
      <c r="C295" s="22"/>
    </row>
    <row r="296" ht="15.75" customHeight="1">
      <c r="A296" s="22"/>
      <c r="B296" s="22"/>
      <c r="C296" s="22"/>
    </row>
    <row r="297" ht="15.75" customHeight="1">
      <c r="A297" s="22"/>
      <c r="B297" s="22"/>
      <c r="C297" s="22"/>
    </row>
    <row r="298" ht="15.75" customHeight="1">
      <c r="A298" s="22"/>
      <c r="B298" s="22"/>
      <c r="C298" s="22"/>
    </row>
    <row r="299" ht="15.75" customHeight="1">
      <c r="A299" s="22"/>
      <c r="B299" s="22"/>
      <c r="C299" s="22"/>
    </row>
    <row r="300" ht="15.75" customHeight="1">
      <c r="A300" s="22"/>
      <c r="B300" s="22"/>
      <c r="C300" s="22"/>
    </row>
    <row r="301" ht="15.75" customHeight="1">
      <c r="A301" s="22"/>
      <c r="B301" s="22"/>
      <c r="C301" s="22"/>
    </row>
    <row r="302" ht="15.75" customHeight="1">
      <c r="A302" s="22"/>
      <c r="B302" s="22"/>
      <c r="C302" s="22"/>
    </row>
    <row r="303" ht="15.75" customHeight="1">
      <c r="A303" s="22"/>
      <c r="B303" s="22"/>
      <c r="C303" s="22"/>
    </row>
    <row r="304" ht="15.75" customHeight="1">
      <c r="A304" s="22"/>
      <c r="B304" s="22"/>
      <c r="C304" s="22"/>
    </row>
    <row r="305" ht="15.75" customHeight="1">
      <c r="A305" s="22"/>
      <c r="B305" s="22"/>
      <c r="C305" s="22"/>
    </row>
    <row r="306" ht="15.75" customHeight="1">
      <c r="A306" s="22"/>
      <c r="B306" s="22"/>
      <c r="C306" s="22"/>
    </row>
    <row r="307" ht="15.75" customHeight="1">
      <c r="A307" s="22"/>
      <c r="B307" s="22"/>
      <c r="C307" s="22"/>
    </row>
    <row r="308" ht="15.75" customHeight="1">
      <c r="A308" s="22"/>
      <c r="B308" s="22"/>
      <c r="C308" s="22"/>
    </row>
    <row r="309" ht="15.75" customHeight="1">
      <c r="A309" s="22"/>
      <c r="B309" s="22"/>
      <c r="C309" s="22"/>
    </row>
    <row r="310" ht="15.75" customHeight="1">
      <c r="A310" s="22"/>
      <c r="B310" s="22"/>
      <c r="C310" s="22"/>
    </row>
    <row r="311" ht="15.75" customHeight="1">
      <c r="A311" s="22"/>
      <c r="B311" s="22"/>
      <c r="C311" s="22"/>
    </row>
    <row r="312" ht="15.75" customHeight="1">
      <c r="A312" s="22"/>
      <c r="B312" s="22"/>
      <c r="C312" s="22"/>
    </row>
    <row r="313" ht="15.75" customHeight="1">
      <c r="A313" s="22"/>
      <c r="B313" s="22"/>
      <c r="C313" s="22"/>
    </row>
    <row r="314" ht="15.75" customHeight="1">
      <c r="A314" s="22"/>
      <c r="B314" s="22"/>
      <c r="C314" s="22"/>
    </row>
    <row r="315" ht="15.75" customHeight="1">
      <c r="A315" s="22"/>
      <c r="B315" s="22"/>
      <c r="C315" s="22"/>
    </row>
    <row r="316" ht="15.75" customHeight="1">
      <c r="A316" s="22"/>
      <c r="B316" s="22"/>
      <c r="C316" s="22"/>
    </row>
    <row r="317" ht="15.75" customHeight="1">
      <c r="A317" s="22"/>
      <c r="B317" s="22"/>
      <c r="C317" s="22"/>
    </row>
    <row r="318" ht="15.75" customHeight="1">
      <c r="A318" s="22"/>
      <c r="B318" s="22"/>
      <c r="C318" s="22"/>
    </row>
    <row r="319" ht="15.75" customHeight="1">
      <c r="A319" s="22"/>
      <c r="B319" s="22"/>
      <c r="C319" s="22"/>
    </row>
    <row r="320" ht="15.75" customHeight="1">
      <c r="A320" s="22"/>
      <c r="B320" s="22"/>
      <c r="C320" s="22"/>
    </row>
    <row r="321" ht="15.75" customHeight="1">
      <c r="A321" s="22"/>
      <c r="B321" s="22"/>
      <c r="C321" s="22"/>
    </row>
    <row r="322" ht="15.75" customHeight="1">
      <c r="A322" s="22"/>
      <c r="B322" s="22"/>
      <c r="C322" s="22"/>
    </row>
    <row r="323" ht="15.75" customHeight="1">
      <c r="A323" s="22"/>
      <c r="B323" s="22"/>
      <c r="C323" s="22"/>
    </row>
    <row r="324" ht="15.75" customHeight="1">
      <c r="A324" s="22"/>
      <c r="B324" s="22"/>
      <c r="C324" s="22"/>
    </row>
    <row r="325" ht="15.75" customHeight="1">
      <c r="A325" s="22"/>
      <c r="B325" s="22"/>
      <c r="C325" s="22"/>
    </row>
    <row r="326" ht="15.75" customHeight="1">
      <c r="A326" s="22"/>
      <c r="B326" s="22"/>
      <c r="C326" s="22"/>
    </row>
    <row r="327" ht="15.75" customHeight="1">
      <c r="A327" s="22"/>
      <c r="B327" s="22"/>
      <c r="C327" s="22"/>
    </row>
    <row r="328" ht="15.75" customHeight="1">
      <c r="A328" s="22"/>
      <c r="B328" s="22"/>
      <c r="C328" s="22"/>
    </row>
    <row r="329" ht="15.75" customHeight="1">
      <c r="A329" s="22"/>
      <c r="B329" s="22"/>
      <c r="C329" s="22"/>
    </row>
    <row r="330" ht="15.75" customHeight="1">
      <c r="A330" s="22"/>
      <c r="B330" s="22"/>
      <c r="C330" s="22"/>
    </row>
    <row r="331" ht="15.75" customHeight="1">
      <c r="A331" s="22"/>
      <c r="B331" s="22"/>
      <c r="C331" s="22"/>
    </row>
    <row r="332" ht="15.75" customHeight="1">
      <c r="A332" s="22"/>
      <c r="B332" s="22"/>
      <c r="C332" s="22"/>
    </row>
    <row r="333" ht="15.75" customHeight="1">
      <c r="A333" s="22"/>
      <c r="B333" s="22"/>
      <c r="C333" s="22"/>
    </row>
    <row r="334" ht="15.75" customHeight="1">
      <c r="A334" s="22"/>
      <c r="B334" s="22"/>
      <c r="C334" s="22"/>
    </row>
    <row r="335" ht="15.75" customHeight="1">
      <c r="A335" s="22"/>
      <c r="B335" s="22"/>
      <c r="C335" s="22"/>
    </row>
    <row r="336" ht="15.75" customHeight="1">
      <c r="A336" s="22"/>
      <c r="B336" s="22"/>
      <c r="C336" s="22"/>
    </row>
    <row r="337" ht="15.75" customHeight="1">
      <c r="A337" s="22"/>
      <c r="B337" s="22"/>
      <c r="C337" s="22"/>
    </row>
    <row r="338" ht="15.75" customHeight="1">
      <c r="A338" s="22"/>
      <c r="B338" s="22"/>
      <c r="C338" s="22"/>
    </row>
    <row r="339" ht="15.75" customHeight="1">
      <c r="A339" s="22"/>
      <c r="B339" s="22"/>
      <c r="C339" s="22"/>
    </row>
    <row r="340" ht="15.75" customHeight="1">
      <c r="A340" s="22"/>
      <c r="B340" s="22"/>
      <c r="C340" s="22"/>
    </row>
    <row r="341" ht="15.75" customHeight="1">
      <c r="A341" s="22"/>
      <c r="B341" s="22"/>
      <c r="C341" s="22"/>
    </row>
    <row r="342" ht="15.75" customHeight="1">
      <c r="A342" s="22"/>
      <c r="B342" s="22"/>
      <c r="C342" s="22"/>
    </row>
    <row r="343" ht="15.75" customHeight="1">
      <c r="A343" s="22"/>
      <c r="B343" s="22"/>
      <c r="C343" s="22"/>
    </row>
    <row r="344" ht="15.75" customHeight="1">
      <c r="A344" s="22"/>
      <c r="B344" s="22"/>
      <c r="C344" s="22"/>
    </row>
    <row r="345" ht="15.75" customHeight="1">
      <c r="A345" s="22"/>
      <c r="B345" s="22"/>
      <c r="C345" s="22"/>
    </row>
    <row r="346" ht="15.75" customHeight="1">
      <c r="A346" s="22"/>
      <c r="B346" s="22"/>
      <c r="C346" s="22"/>
    </row>
    <row r="347" ht="15.75" customHeight="1">
      <c r="A347" s="22"/>
      <c r="B347" s="22"/>
      <c r="C347" s="22"/>
    </row>
    <row r="348" ht="15.75" customHeight="1">
      <c r="A348" s="22"/>
      <c r="B348" s="22"/>
      <c r="C348" s="22"/>
    </row>
    <row r="349" ht="15.75" customHeight="1">
      <c r="A349" s="22"/>
      <c r="B349" s="22"/>
      <c r="C349" s="22"/>
    </row>
    <row r="350" ht="15.75" customHeight="1">
      <c r="A350" s="22"/>
      <c r="B350" s="22"/>
      <c r="C350" s="22"/>
    </row>
    <row r="351" ht="15.75" customHeight="1">
      <c r="A351" s="22"/>
      <c r="B351" s="22"/>
      <c r="C351" s="22"/>
    </row>
    <row r="352" ht="15.75" customHeight="1">
      <c r="A352" s="22"/>
      <c r="B352" s="22"/>
      <c r="C352" s="22"/>
    </row>
    <row r="353" ht="15.75" customHeight="1">
      <c r="A353" s="22"/>
      <c r="B353" s="22"/>
      <c r="C353" s="22"/>
    </row>
    <row r="354" ht="15.75" customHeight="1">
      <c r="A354" s="22"/>
      <c r="B354" s="22"/>
      <c r="C354" s="22"/>
    </row>
    <row r="355" ht="15.75" customHeight="1">
      <c r="A355" s="22"/>
      <c r="B355" s="22"/>
      <c r="C355" s="22"/>
    </row>
    <row r="356" ht="15.75" customHeight="1">
      <c r="A356" s="22"/>
      <c r="B356" s="22"/>
      <c r="C356" s="22"/>
    </row>
    <row r="357" ht="15.75" customHeight="1">
      <c r="A357" s="22"/>
      <c r="B357" s="22"/>
      <c r="C357" s="22"/>
    </row>
    <row r="358" ht="15.75" customHeight="1">
      <c r="A358" s="22"/>
      <c r="B358" s="22"/>
      <c r="C358" s="22"/>
    </row>
    <row r="359" ht="15.75" customHeight="1">
      <c r="A359" s="22"/>
      <c r="B359" s="22"/>
      <c r="C359" s="22"/>
    </row>
    <row r="360" ht="15.75" customHeight="1">
      <c r="A360" s="22"/>
      <c r="B360" s="22"/>
      <c r="C360" s="22"/>
    </row>
    <row r="361" ht="15.75" customHeight="1">
      <c r="A361" s="22"/>
      <c r="B361" s="22"/>
      <c r="C361" s="22"/>
    </row>
    <row r="362" ht="15.75" customHeight="1">
      <c r="A362" s="22"/>
      <c r="B362" s="22"/>
      <c r="C362" s="22"/>
    </row>
    <row r="363" ht="15.75" customHeight="1">
      <c r="A363" s="22"/>
      <c r="B363" s="22"/>
      <c r="C363" s="22"/>
    </row>
    <row r="364" ht="15.75" customHeight="1">
      <c r="A364" s="22"/>
      <c r="B364" s="22"/>
      <c r="C364" s="22"/>
    </row>
    <row r="365" ht="15.75" customHeight="1">
      <c r="A365" s="22"/>
      <c r="B365" s="22"/>
      <c r="C365" s="22"/>
    </row>
    <row r="366" ht="15.75" customHeight="1">
      <c r="A366" s="22"/>
      <c r="B366" s="22"/>
      <c r="C366" s="22"/>
    </row>
    <row r="367" ht="15.75" customHeight="1">
      <c r="A367" s="22"/>
      <c r="B367" s="22"/>
      <c r="C367" s="22"/>
    </row>
    <row r="368" ht="15.75" customHeight="1">
      <c r="A368" s="22"/>
      <c r="B368" s="22"/>
      <c r="C368" s="22"/>
    </row>
    <row r="369" ht="15.75" customHeight="1">
      <c r="A369" s="22"/>
      <c r="B369" s="22"/>
      <c r="C369" s="22"/>
    </row>
    <row r="370" ht="15.75" customHeight="1">
      <c r="A370" s="22"/>
      <c r="B370" s="22"/>
      <c r="C370" s="22"/>
    </row>
    <row r="371" ht="15.75" customHeight="1">
      <c r="A371" s="22"/>
      <c r="B371" s="22"/>
      <c r="C371" s="22"/>
    </row>
    <row r="372" ht="15.75" customHeight="1">
      <c r="A372" s="22"/>
      <c r="B372" s="22"/>
      <c r="C372" s="22"/>
    </row>
    <row r="373" ht="15.75" customHeight="1">
      <c r="A373" s="22"/>
      <c r="B373" s="22"/>
      <c r="C373" s="22"/>
    </row>
    <row r="374" ht="15.75" customHeight="1">
      <c r="A374" s="22"/>
      <c r="B374" s="22"/>
      <c r="C374" s="22"/>
    </row>
    <row r="375" ht="15.75" customHeight="1">
      <c r="A375" s="22"/>
      <c r="B375" s="22"/>
      <c r="C375" s="22"/>
    </row>
    <row r="376" ht="15.75" customHeight="1">
      <c r="A376" s="22"/>
      <c r="B376" s="22"/>
      <c r="C376" s="22"/>
    </row>
    <row r="377" ht="15.75" customHeight="1">
      <c r="A377" s="22"/>
      <c r="B377" s="22"/>
      <c r="C377" s="22"/>
    </row>
    <row r="378" ht="15.75" customHeight="1">
      <c r="A378" s="22"/>
      <c r="B378" s="22"/>
      <c r="C378" s="22"/>
    </row>
    <row r="379" ht="15.75" customHeight="1">
      <c r="A379" s="22"/>
      <c r="B379" s="22"/>
      <c r="C379" s="22"/>
    </row>
    <row r="380" ht="15.75" customHeight="1">
      <c r="A380" s="22"/>
      <c r="B380" s="22"/>
      <c r="C380" s="22"/>
    </row>
    <row r="381" ht="15.75" customHeight="1">
      <c r="A381" s="22"/>
      <c r="B381" s="22"/>
      <c r="C381" s="22"/>
    </row>
    <row r="382" ht="15.75" customHeight="1">
      <c r="A382" s="22"/>
      <c r="B382" s="22"/>
      <c r="C382" s="22"/>
    </row>
    <row r="383" ht="15.75" customHeight="1">
      <c r="A383" s="22"/>
      <c r="B383" s="22"/>
      <c r="C383" s="22"/>
    </row>
    <row r="384" ht="15.75" customHeight="1">
      <c r="A384" s="22"/>
      <c r="B384" s="22"/>
      <c r="C384" s="22"/>
    </row>
    <row r="385" ht="15.75" customHeight="1">
      <c r="A385" s="22"/>
      <c r="B385" s="22"/>
      <c r="C385" s="22"/>
    </row>
    <row r="386" ht="15.75" customHeight="1">
      <c r="A386" s="22"/>
      <c r="B386" s="22"/>
      <c r="C386" s="22"/>
    </row>
    <row r="387" ht="15.75" customHeight="1">
      <c r="A387" s="22"/>
      <c r="B387" s="22"/>
      <c r="C387" s="22"/>
    </row>
    <row r="388" ht="15.75" customHeight="1">
      <c r="A388" s="22"/>
      <c r="B388" s="22"/>
      <c r="C388" s="22"/>
    </row>
    <row r="389" ht="15.75" customHeight="1">
      <c r="A389" s="22"/>
      <c r="B389" s="22"/>
      <c r="C389" s="22"/>
    </row>
    <row r="390" ht="15.75" customHeight="1">
      <c r="A390" s="22"/>
      <c r="B390" s="22"/>
      <c r="C390" s="22"/>
    </row>
    <row r="391" ht="15.75" customHeight="1">
      <c r="A391" s="22"/>
      <c r="B391" s="22"/>
      <c r="C391" s="22"/>
    </row>
    <row r="392" ht="15.75" customHeight="1">
      <c r="A392" s="22"/>
      <c r="B392" s="22"/>
      <c r="C392" s="22"/>
    </row>
    <row r="393" ht="15.75" customHeight="1">
      <c r="A393" s="22"/>
      <c r="B393" s="22"/>
      <c r="C393" s="22"/>
    </row>
    <row r="394" ht="15.75" customHeight="1">
      <c r="A394" s="22"/>
      <c r="B394" s="22"/>
      <c r="C394" s="22"/>
    </row>
    <row r="395" ht="15.75" customHeight="1">
      <c r="A395" s="22"/>
      <c r="B395" s="22"/>
      <c r="C395" s="22"/>
    </row>
    <row r="396" ht="15.75" customHeight="1">
      <c r="A396" s="22"/>
      <c r="B396" s="22"/>
      <c r="C396" s="22"/>
    </row>
    <row r="397" ht="15.75" customHeight="1">
      <c r="A397" s="22"/>
      <c r="B397" s="22"/>
      <c r="C397" s="22"/>
    </row>
    <row r="398" ht="15.75" customHeight="1">
      <c r="A398" s="22"/>
      <c r="B398" s="22"/>
      <c r="C398" s="22"/>
    </row>
    <row r="399" ht="15.75" customHeight="1">
      <c r="A399" s="22"/>
      <c r="B399" s="22"/>
      <c r="C399" s="22"/>
    </row>
    <row r="400" ht="15.75" customHeight="1">
      <c r="A400" s="22"/>
      <c r="B400" s="22"/>
      <c r="C400" s="22"/>
    </row>
    <row r="401" ht="15.75" customHeight="1">
      <c r="A401" s="22"/>
      <c r="B401" s="22"/>
      <c r="C401" s="22"/>
    </row>
    <row r="402" ht="15.75" customHeight="1">
      <c r="A402" s="22"/>
      <c r="B402" s="22"/>
      <c r="C402" s="22"/>
    </row>
    <row r="403" ht="15.75" customHeight="1">
      <c r="A403" s="22"/>
      <c r="B403" s="22"/>
      <c r="C403" s="22"/>
    </row>
    <row r="404" ht="15.75" customHeight="1">
      <c r="A404" s="22"/>
      <c r="B404" s="22"/>
      <c r="C404" s="22"/>
    </row>
    <row r="405" ht="15.75" customHeight="1">
      <c r="A405" s="22"/>
      <c r="B405" s="22"/>
      <c r="C405" s="22"/>
    </row>
    <row r="406" ht="15.75" customHeight="1">
      <c r="A406" s="22"/>
      <c r="B406" s="22"/>
      <c r="C406" s="22"/>
    </row>
    <row r="407" ht="15.75" customHeight="1">
      <c r="A407" s="22"/>
      <c r="B407" s="22"/>
      <c r="C407" s="22"/>
    </row>
    <row r="408" ht="15.75" customHeight="1">
      <c r="A408" s="22"/>
      <c r="B408" s="22"/>
      <c r="C408" s="22"/>
    </row>
    <row r="409" ht="15.75" customHeight="1">
      <c r="A409" s="22"/>
      <c r="B409" s="22"/>
      <c r="C409" s="22"/>
    </row>
    <row r="410" ht="15.75" customHeight="1">
      <c r="A410" s="22"/>
      <c r="B410" s="22"/>
      <c r="C410" s="22"/>
    </row>
    <row r="411" ht="15.75" customHeight="1">
      <c r="A411" s="22"/>
      <c r="B411" s="22"/>
      <c r="C411" s="22"/>
    </row>
    <row r="412" ht="15.75" customHeight="1">
      <c r="A412" s="22"/>
      <c r="B412" s="22"/>
      <c r="C412" s="22"/>
    </row>
    <row r="413" ht="15.75" customHeight="1">
      <c r="A413" s="22"/>
      <c r="B413" s="22"/>
      <c r="C413" s="22"/>
    </row>
    <row r="414" ht="15.75" customHeight="1">
      <c r="A414" s="22"/>
      <c r="B414" s="22"/>
      <c r="C414" s="22"/>
    </row>
    <row r="415" ht="15.75" customHeight="1">
      <c r="A415" s="22"/>
      <c r="B415" s="22"/>
      <c r="C415" s="22"/>
    </row>
    <row r="416" ht="15.75" customHeight="1">
      <c r="A416" s="22"/>
      <c r="B416" s="22"/>
      <c r="C416" s="22"/>
    </row>
    <row r="417" ht="15.75" customHeight="1">
      <c r="A417" s="22"/>
      <c r="B417" s="22"/>
      <c r="C417" s="22"/>
    </row>
    <row r="418" ht="15.75" customHeight="1">
      <c r="A418" s="22"/>
      <c r="B418" s="22"/>
      <c r="C418" s="22"/>
    </row>
    <row r="419" ht="15.75" customHeight="1">
      <c r="A419" s="22"/>
      <c r="B419" s="22"/>
      <c r="C419" s="22"/>
    </row>
    <row r="420" ht="15.75" customHeight="1">
      <c r="A420" s="22"/>
      <c r="B420" s="22"/>
      <c r="C420" s="22"/>
    </row>
    <row r="421" ht="15.75" customHeight="1">
      <c r="A421" s="22"/>
      <c r="B421" s="22"/>
      <c r="C421" s="22"/>
    </row>
    <row r="422" ht="15.75" customHeight="1">
      <c r="A422" s="22"/>
      <c r="B422" s="22"/>
      <c r="C422" s="22"/>
    </row>
    <row r="423" ht="15.75" customHeight="1">
      <c r="A423" s="22"/>
      <c r="B423" s="22"/>
      <c r="C423" s="22"/>
    </row>
    <row r="424" ht="15.75" customHeight="1">
      <c r="A424" s="22"/>
      <c r="B424" s="22"/>
      <c r="C424" s="22"/>
    </row>
    <row r="425" ht="15.75" customHeight="1">
      <c r="A425" s="22"/>
      <c r="B425" s="22"/>
      <c r="C425" s="22"/>
    </row>
    <row r="426" ht="15.75" customHeight="1">
      <c r="A426" s="22"/>
      <c r="B426" s="22"/>
      <c r="C426" s="22"/>
    </row>
    <row r="427" ht="15.75" customHeight="1">
      <c r="A427" s="22"/>
      <c r="B427" s="22"/>
      <c r="C427" s="22"/>
    </row>
    <row r="428" ht="15.75" customHeight="1">
      <c r="A428" s="22"/>
      <c r="B428" s="22"/>
      <c r="C428" s="22"/>
    </row>
    <row r="429" ht="15.75" customHeight="1">
      <c r="A429" s="22"/>
      <c r="B429" s="22"/>
      <c r="C429" s="22"/>
    </row>
    <row r="430" ht="15.75" customHeight="1">
      <c r="A430" s="22"/>
      <c r="B430" s="22"/>
      <c r="C430" s="22"/>
    </row>
    <row r="431" ht="15.75" customHeight="1">
      <c r="A431" s="22"/>
      <c r="B431" s="22"/>
      <c r="C431" s="22"/>
    </row>
    <row r="432" ht="15.75" customHeight="1">
      <c r="A432" s="22"/>
      <c r="B432" s="22"/>
      <c r="C432" s="22"/>
    </row>
    <row r="433" ht="15.75" customHeight="1">
      <c r="A433" s="22"/>
      <c r="B433" s="22"/>
      <c r="C433" s="22"/>
    </row>
    <row r="434" ht="15.75" customHeight="1">
      <c r="A434" s="22"/>
      <c r="B434" s="22"/>
      <c r="C434" s="22"/>
    </row>
    <row r="435" ht="15.75" customHeight="1">
      <c r="A435" s="22"/>
      <c r="B435" s="22"/>
      <c r="C435" s="22"/>
    </row>
    <row r="436" ht="15.75" customHeight="1">
      <c r="A436" s="22"/>
      <c r="B436" s="22"/>
      <c r="C436" s="22"/>
    </row>
    <row r="437" ht="15.75" customHeight="1">
      <c r="A437" s="22"/>
      <c r="B437" s="22"/>
      <c r="C437" s="22"/>
    </row>
    <row r="438" ht="15.75" customHeight="1">
      <c r="A438" s="22"/>
      <c r="B438" s="22"/>
      <c r="C438" s="22"/>
    </row>
    <row r="439" ht="15.75" customHeight="1">
      <c r="A439" s="22"/>
      <c r="B439" s="22"/>
      <c r="C439" s="22"/>
    </row>
    <row r="440" ht="15.75" customHeight="1">
      <c r="A440" s="22"/>
      <c r="B440" s="22"/>
      <c r="C440" s="22"/>
    </row>
    <row r="441" ht="15.75" customHeight="1">
      <c r="A441" s="22"/>
      <c r="B441" s="22"/>
      <c r="C441" s="22"/>
    </row>
    <row r="442" ht="15.75" customHeight="1">
      <c r="A442" s="22"/>
      <c r="B442" s="22"/>
      <c r="C442" s="22"/>
    </row>
    <row r="443" ht="15.75" customHeight="1">
      <c r="A443" s="22"/>
      <c r="B443" s="22"/>
      <c r="C443" s="22"/>
    </row>
    <row r="444" ht="15.75" customHeight="1">
      <c r="A444" s="22"/>
      <c r="B444" s="22"/>
      <c r="C444" s="22"/>
    </row>
    <row r="445" ht="15.75" customHeight="1">
      <c r="A445" s="22"/>
      <c r="B445" s="22"/>
      <c r="C445" s="22"/>
    </row>
    <row r="446" ht="15.75" customHeight="1">
      <c r="A446" s="22"/>
      <c r="B446" s="22"/>
      <c r="C446" s="22"/>
    </row>
    <row r="447" ht="15.75" customHeight="1">
      <c r="A447" s="22"/>
      <c r="B447" s="22"/>
      <c r="C447" s="22"/>
    </row>
    <row r="448" ht="15.75" customHeight="1">
      <c r="A448" s="22"/>
      <c r="B448" s="22"/>
      <c r="C448" s="22"/>
    </row>
    <row r="449" ht="15.75" customHeight="1">
      <c r="A449" s="22"/>
      <c r="B449" s="22"/>
      <c r="C449" s="22"/>
    </row>
    <row r="450" ht="15.75" customHeight="1">
      <c r="A450" s="22"/>
      <c r="B450" s="22"/>
      <c r="C450" s="22"/>
    </row>
    <row r="451" ht="15.75" customHeight="1">
      <c r="A451" s="22"/>
      <c r="B451" s="22"/>
      <c r="C451" s="22"/>
    </row>
    <row r="452" ht="15.75" customHeight="1">
      <c r="A452" s="22"/>
      <c r="B452" s="22"/>
      <c r="C452" s="22"/>
    </row>
    <row r="453" ht="15.75" customHeight="1">
      <c r="A453" s="22"/>
      <c r="B453" s="22"/>
      <c r="C453" s="22"/>
    </row>
    <row r="454" ht="15.75" customHeight="1">
      <c r="A454" s="22"/>
      <c r="B454" s="22"/>
      <c r="C454" s="22"/>
    </row>
    <row r="455" ht="15.75" customHeight="1">
      <c r="A455" s="22"/>
      <c r="B455" s="22"/>
      <c r="C455" s="22"/>
    </row>
    <row r="456" ht="15.75" customHeight="1">
      <c r="A456" s="22"/>
      <c r="B456" s="22"/>
      <c r="C456" s="22"/>
    </row>
    <row r="457" ht="15.75" customHeight="1">
      <c r="A457" s="22"/>
      <c r="B457" s="22"/>
      <c r="C457" s="22"/>
    </row>
    <row r="458" ht="15.75" customHeight="1">
      <c r="A458" s="22"/>
      <c r="B458" s="22"/>
      <c r="C458" s="22"/>
    </row>
    <row r="459" ht="15.75" customHeight="1">
      <c r="A459" s="22"/>
      <c r="B459" s="22"/>
      <c r="C459" s="22"/>
    </row>
    <row r="460" ht="15.75" customHeight="1">
      <c r="A460" s="22"/>
      <c r="B460" s="22"/>
      <c r="C460" s="22"/>
    </row>
    <row r="461" ht="15.75" customHeight="1">
      <c r="A461" s="22"/>
      <c r="B461" s="22"/>
      <c r="C461" s="22"/>
    </row>
    <row r="462" ht="15.75" customHeight="1">
      <c r="A462" s="22"/>
      <c r="B462" s="22"/>
      <c r="C462" s="22"/>
    </row>
    <row r="463" ht="15.75" customHeight="1">
      <c r="A463" s="22"/>
      <c r="B463" s="22"/>
      <c r="C463" s="22"/>
    </row>
    <row r="464" ht="15.75" customHeight="1">
      <c r="A464" s="22"/>
      <c r="B464" s="22"/>
      <c r="C464" s="22"/>
    </row>
    <row r="465" ht="15.75" customHeight="1">
      <c r="A465" s="22"/>
      <c r="B465" s="22"/>
      <c r="C465" s="22"/>
    </row>
    <row r="466" ht="15.75" customHeight="1">
      <c r="A466" s="22"/>
      <c r="B466" s="22"/>
      <c r="C466" s="22"/>
    </row>
    <row r="467" ht="15.75" customHeight="1">
      <c r="A467" s="22"/>
      <c r="B467" s="22"/>
      <c r="C467" s="22"/>
    </row>
    <row r="468" ht="15.75" customHeight="1">
      <c r="A468" s="22"/>
      <c r="B468" s="22"/>
      <c r="C468" s="22"/>
    </row>
    <row r="469" ht="15.75" customHeight="1">
      <c r="A469" s="22"/>
      <c r="B469" s="22"/>
      <c r="C469" s="22"/>
    </row>
    <row r="470" ht="15.75" customHeight="1">
      <c r="A470" s="22"/>
      <c r="B470" s="22"/>
      <c r="C470" s="22"/>
    </row>
    <row r="471" ht="15.75" customHeight="1">
      <c r="A471" s="22"/>
      <c r="B471" s="22"/>
      <c r="C471" s="22"/>
    </row>
    <row r="472" ht="15.75" customHeight="1">
      <c r="A472" s="22"/>
      <c r="B472" s="22"/>
      <c r="C472" s="22"/>
    </row>
    <row r="473" ht="15.75" customHeight="1">
      <c r="A473" s="22"/>
      <c r="B473" s="22"/>
      <c r="C473" s="22"/>
    </row>
    <row r="474" ht="15.75" customHeight="1">
      <c r="A474" s="22"/>
      <c r="B474" s="22"/>
      <c r="C474" s="22"/>
    </row>
    <row r="475" ht="15.75" customHeight="1">
      <c r="A475" s="22"/>
      <c r="B475" s="22"/>
      <c r="C475" s="22"/>
    </row>
    <row r="476" ht="15.75" customHeight="1">
      <c r="A476" s="22"/>
      <c r="B476" s="22"/>
      <c r="C476" s="22"/>
    </row>
    <row r="477" ht="15.75" customHeight="1">
      <c r="A477" s="22"/>
      <c r="B477" s="22"/>
      <c r="C477" s="22"/>
    </row>
    <row r="478" ht="15.75" customHeight="1">
      <c r="A478" s="22"/>
      <c r="B478" s="22"/>
      <c r="C478" s="22"/>
    </row>
    <row r="479" ht="15.75" customHeight="1">
      <c r="A479" s="22"/>
      <c r="B479" s="22"/>
      <c r="C479" s="22"/>
    </row>
    <row r="480" ht="15.75" customHeight="1">
      <c r="A480" s="22"/>
      <c r="B480" s="22"/>
      <c r="C480" s="22"/>
    </row>
    <row r="481" ht="15.75" customHeight="1">
      <c r="A481" s="22"/>
      <c r="B481" s="22"/>
      <c r="C481" s="22"/>
    </row>
    <row r="482" ht="15.75" customHeight="1">
      <c r="A482" s="22"/>
      <c r="B482" s="22"/>
      <c r="C482" s="22"/>
    </row>
    <row r="483" ht="15.75" customHeight="1">
      <c r="A483" s="22"/>
      <c r="B483" s="22"/>
      <c r="C483" s="22"/>
    </row>
    <row r="484" ht="15.75" customHeight="1">
      <c r="A484" s="22"/>
      <c r="B484" s="22"/>
      <c r="C484" s="22"/>
    </row>
    <row r="485" ht="15.75" customHeight="1">
      <c r="A485" s="22"/>
      <c r="B485" s="22"/>
      <c r="C485" s="22"/>
    </row>
    <row r="486" ht="15.75" customHeight="1">
      <c r="A486" s="22"/>
      <c r="B486" s="22"/>
      <c r="C486" s="22"/>
    </row>
    <row r="487" ht="15.75" customHeight="1">
      <c r="A487" s="22"/>
      <c r="B487" s="22"/>
      <c r="C487" s="22"/>
    </row>
    <row r="488" ht="15.75" customHeight="1">
      <c r="A488" s="22"/>
      <c r="B488" s="22"/>
      <c r="C488" s="22"/>
    </row>
    <row r="489" ht="15.75" customHeight="1">
      <c r="A489" s="22"/>
      <c r="B489" s="22"/>
      <c r="C489" s="22"/>
    </row>
    <row r="490" ht="15.75" customHeight="1">
      <c r="A490" s="22"/>
      <c r="B490" s="22"/>
      <c r="C490" s="22"/>
    </row>
    <row r="491" ht="15.75" customHeight="1">
      <c r="A491" s="22"/>
      <c r="B491" s="22"/>
      <c r="C491" s="22"/>
    </row>
    <row r="492" ht="15.75" customHeight="1">
      <c r="A492" s="22"/>
      <c r="B492" s="22"/>
      <c r="C492" s="22"/>
    </row>
    <row r="493" ht="15.75" customHeight="1">
      <c r="A493" s="22"/>
      <c r="B493" s="22"/>
      <c r="C493" s="22"/>
    </row>
    <row r="494" ht="15.75" customHeight="1">
      <c r="A494" s="22"/>
      <c r="B494" s="22"/>
      <c r="C494" s="22"/>
    </row>
    <row r="495" ht="15.75" customHeight="1">
      <c r="A495" s="22"/>
      <c r="B495" s="22"/>
      <c r="C495" s="22"/>
    </row>
    <row r="496" ht="15.75" customHeight="1">
      <c r="A496" s="22"/>
      <c r="B496" s="22"/>
      <c r="C496" s="22"/>
    </row>
    <row r="497" ht="15.75" customHeight="1">
      <c r="A497" s="22"/>
      <c r="B497" s="22"/>
      <c r="C497" s="22"/>
    </row>
    <row r="498" ht="15.75" customHeight="1">
      <c r="A498" s="22"/>
      <c r="B498" s="22"/>
      <c r="C498" s="22"/>
    </row>
    <row r="499" ht="15.75" customHeight="1">
      <c r="A499" s="22"/>
      <c r="B499" s="22"/>
      <c r="C499" s="22"/>
    </row>
    <row r="500" ht="15.75" customHeight="1">
      <c r="A500" s="22"/>
      <c r="B500" s="22"/>
      <c r="C500" s="22"/>
    </row>
    <row r="501" ht="15.75" customHeight="1">
      <c r="A501" s="22"/>
      <c r="B501" s="22"/>
      <c r="C501" s="22"/>
    </row>
    <row r="502" ht="15.75" customHeight="1">
      <c r="A502" s="22"/>
      <c r="B502" s="22"/>
      <c r="C502" s="22"/>
    </row>
    <row r="503" ht="15.75" customHeight="1">
      <c r="A503" s="22"/>
      <c r="B503" s="22"/>
      <c r="C503" s="22"/>
    </row>
    <row r="504" ht="15.75" customHeight="1">
      <c r="A504" s="22"/>
      <c r="B504" s="22"/>
      <c r="C504" s="22"/>
    </row>
    <row r="505" ht="15.75" customHeight="1">
      <c r="A505" s="22"/>
      <c r="B505" s="22"/>
      <c r="C505" s="22"/>
    </row>
    <row r="506" ht="15.75" customHeight="1">
      <c r="A506" s="22"/>
      <c r="B506" s="22"/>
      <c r="C506" s="22"/>
    </row>
    <row r="507" ht="15.75" customHeight="1">
      <c r="A507" s="22"/>
      <c r="B507" s="22"/>
      <c r="C507" s="22"/>
    </row>
    <row r="508" ht="15.75" customHeight="1">
      <c r="A508" s="22"/>
      <c r="B508" s="22"/>
      <c r="C508" s="22"/>
    </row>
    <row r="509" ht="15.75" customHeight="1">
      <c r="A509" s="22"/>
      <c r="B509" s="22"/>
      <c r="C509" s="22"/>
    </row>
    <row r="510" ht="15.75" customHeight="1">
      <c r="A510" s="22"/>
      <c r="B510" s="22"/>
      <c r="C510" s="22"/>
    </row>
    <row r="511" ht="15.75" customHeight="1">
      <c r="A511" s="22"/>
      <c r="B511" s="22"/>
      <c r="C511" s="22"/>
    </row>
    <row r="512" ht="15.75" customHeight="1">
      <c r="A512" s="22"/>
      <c r="B512" s="22"/>
      <c r="C512" s="22"/>
    </row>
    <row r="513" ht="15.75" customHeight="1">
      <c r="A513" s="22"/>
      <c r="B513" s="22"/>
      <c r="C513" s="22"/>
    </row>
    <row r="514" ht="15.75" customHeight="1">
      <c r="A514" s="22"/>
      <c r="B514" s="22"/>
      <c r="C514" s="22"/>
    </row>
    <row r="515" ht="15.75" customHeight="1">
      <c r="A515" s="22"/>
      <c r="B515" s="22"/>
      <c r="C515" s="22"/>
    </row>
    <row r="516" ht="15.75" customHeight="1">
      <c r="A516" s="22"/>
      <c r="B516" s="22"/>
      <c r="C516" s="22"/>
    </row>
    <row r="517" ht="15.75" customHeight="1">
      <c r="A517" s="22"/>
      <c r="B517" s="22"/>
      <c r="C517" s="22"/>
    </row>
    <row r="518" ht="15.75" customHeight="1">
      <c r="A518" s="22"/>
      <c r="B518" s="22"/>
      <c r="C518" s="22"/>
    </row>
    <row r="519" ht="15.75" customHeight="1">
      <c r="A519" s="22"/>
      <c r="B519" s="22"/>
      <c r="C519" s="22"/>
    </row>
    <row r="520" ht="15.75" customHeight="1">
      <c r="A520" s="22"/>
      <c r="B520" s="22"/>
      <c r="C520" s="22"/>
    </row>
    <row r="521" ht="15.75" customHeight="1">
      <c r="A521" s="22"/>
      <c r="B521" s="22"/>
      <c r="C521" s="22"/>
    </row>
    <row r="522" ht="15.75" customHeight="1">
      <c r="A522" s="22"/>
      <c r="B522" s="22"/>
      <c r="C522" s="22"/>
    </row>
    <row r="523" ht="15.75" customHeight="1">
      <c r="A523" s="22"/>
      <c r="B523" s="22"/>
      <c r="C523" s="22"/>
    </row>
    <row r="524" ht="15.75" customHeight="1">
      <c r="A524" s="22"/>
      <c r="B524" s="22"/>
      <c r="C524" s="22"/>
    </row>
    <row r="525" ht="15.75" customHeight="1">
      <c r="A525" s="22"/>
      <c r="B525" s="22"/>
      <c r="C525" s="22"/>
    </row>
    <row r="526" ht="15.75" customHeight="1">
      <c r="A526" s="22"/>
      <c r="B526" s="22"/>
      <c r="C526" s="22"/>
    </row>
    <row r="527" ht="15.75" customHeight="1">
      <c r="A527" s="22"/>
      <c r="B527" s="22"/>
      <c r="C527" s="22"/>
    </row>
    <row r="528" ht="15.75" customHeight="1">
      <c r="A528" s="22"/>
      <c r="B528" s="22"/>
      <c r="C528" s="22"/>
    </row>
    <row r="529" ht="15.75" customHeight="1">
      <c r="A529" s="22"/>
      <c r="B529" s="22"/>
      <c r="C529" s="22"/>
    </row>
    <row r="530" ht="15.75" customHeight="1">
      <c r="A530" s="22"/>
      <c r="B530" s="22"/>
      <c r="C530" s="22"/>
    </row>
    <row r="531" ht="15.75" customHeight="1">
      <c r="A531" s="22"/>
      <c r="B531" s="22"/>
      <c r="C531" s="22"/>
    </row>
    <row r="532" ht="15.75" customHeight="1">
      <c r="A532" s="22"/>
      <c r="B532" s="22"/>
      <c r="C532" s="22"/>
    </row>
    <row r="533" ht="15.75" customHeight="1">
      <c r="A533" s="22"/>
      <c r="B533" s="22"/>
      <c r="C533" s="22"/>
    </row>
    <row r="534" ht="15.75" customHeight="1">
      <c r="A534" s="22"/>
      <c r="B534" s="22"/>
      <c r="C534" s="22"/>
    </row>
    <row r="535" ht="15.75" customHeight="1">
      <c r="A535" s="22"/>
      <c r="B535" s="22"/>
      <c r="C535" s="22"/>
    </row>
    <row r="536" ht="15.75" customHeight="1">
      <c r="A536" s="22"/>
      <c r="B536" s="22"/>
      <c r="C536" s="22"/>
    </row>
    <row r="537" ht="15.75" customHeight="1">
      <c r="A537" s="22"/>
      <c r="B537" s="22"/>
      <c r="C537" s="22"/>
    </row>
    <row r="538" ht="15.75" customHeight="1">
      <c r="A538" s="22"/>
      <c r="B538" s="22"/>
      <c r="C538" s="22"/>
    </row>
    <row r="539" ht="15.75" customHeight="1">
      <c r="A539" s="22"/>
      <c r="B539" s="22"/>
      <c r="C539" s="22"/>
    </row>
    <row r="540" ht="15.75" customHeight="1">
      <c r="A540" s="22"/>
      <c r="B540" s="22"/>
      <c r="C540" s="22"/>
    </row>
    <row r="541" ht="15.75" customHeight="1">
      <c r="A541" s="22"/>
      <c r="B541" s="22"/>
      <c r="C541" s="22"/>
    </row>
    <row r="542" ht="15.75" customHeight="1">
      <c r="A542" s="22"/>
      <c r="B542" s="22"/>
      <c r="C542" s="22"/>
    </row>
    <row r="543" ht="15.75" customHeight="1">
      <c r="A543" s="22"/>
      <c r="B543" s="22"/>
      <c r="C543" s="22"/>
    </row>
    <row r="544" ht="15.75" customHeight="1">
      <c r="A544" s="22"/>
      <c r="B544" s="22"/>
      <c r="C544" s="22"/>
    </row>
    <row r="545" ht="15.75" customHeight="1">
      <c r="A545" s="22"/>
      <c r="B545" s="22"/>
      <c r="C545" s="22"/>
    </row>
    <row r="546" ht="15.75" customHeight="1">
      <c r="A546" s="22"/>
      <c r="B546" s="22"/>
      <c r="C546" s="22"/>
    </row>
    <row r="547" ht="15.75" customHeight="1">
      <c r="A547" s="22"/>
      <c r="B547" s="22"/>
      <c r="C547" s="22"/>
    </row>
    <row r="548" ht="15.75" customHeight="1">
      <c r="A548" s="22"/>
      <c r="B548" s="22"/>
      <c r="C548" s="22"/>
    </row>
    <row r="549" ht="15.75" customHeight="1">
      <c r="A549" s="22"/>
      <c r="B549" s="22"/>
      <c r="C549" s="22"/>
    </row>
    <row r="550" ht="15.75" customHeight="1">
      <c r="A550" s="22"/>
      <c r="B550" s="22"/>
      <c r="C550" s="22"/>
    </row>
    <row r="551" ht="15.75" customHeight="1">
      <c r="A551" s="22"/>
      <c r="B551" s="22"/>
      <c r="C551" s="22"/>
    </row>
    <row r="552" ht="15.75" customHeight="1">
      <c r="A552" s="22"/>
      <c r="B552" s="22"/>
      <c r="C552" s="22"/>
    </row>
    <row r="553" ht="15.75" customHeight="1">
      <c r="A553" s="22"/>
      <c r="B553" s="22"/>
      <c r="C553" s="22"/>
    </row>
    <row r="554" ht="15.75" customHeight="1">
      <c r="A554" s="22"/>
      <c r="B554" s="22"/>
      <c r="C554" s="22"/>
    </row>
    <row r="555" ht="15.75" customHeight="1">
      <c r="A555" s="22"/>
      <c r="B555" s="22"/>
      <c r="C555" s="22"/>
    </row>
    <row r="556" ht="15.75" customHeight="1">
      <c r="A556" s="22"/>
      <c r="B556" s="22"/>
      <c r="C556" s="22"/>
    </row>
    <row r="557" ht="15.75" customHeight="1">
      <c r="A557" s="22"/>
      <c r="B557" s="22"/>
      <c r="C557" s="22"/>
    </row>
    <row r="558" ht="15.75" customHeight="1">
      <c r="A558" s="22"/>
      <c r="B558" s="22"/>
      <c r="C558" s="22"/>
    </row>
    <row r="559" ht="15.75" customHeight="1">
      <c r="A559" s="22"/>
      <c r="B559" s="22"/>
      <c r="C559" s="22"/>
    </row>
    <row r="560" ht="15.75" customHeight="1">
      <c r="A560" s="22"/>
      <c r="B560" s="22"/>
      <c r="C560" s="22"/>
    </row>
    <row r="561" ht="15.75" customHeight="1">
      <c r="A561" s="22"/>
      <c r="B561" s="22"/>
      <c r="C561" s="22"/>
    </row>
    <row r="562" ht="15.75" customHeight="1">
      <c r="A562" s="22"/>
      <c r="B562" s="22"/>
      <c r="C562" s="22"/>
    </row>
    <row r="563" ht="15.75" customHeight="1">
      <c r="A563" s="22"/>
      <c r="B563" s="22"/>
      <c r="C563" s="22"/>
    </row>
    <row r="564" ht="15.75" customHeight="1">
      <c r="A564" s="22"/>
      <c r="B564" s="22"/>
      <c r="C564" s="22"/>
    </row>
    <row r="565" ht="15.75" customHeight="1">
      <c r="A565" s="22"/>
      <c r="B565" s="22"/>
      <c r="C565" s="22"/>
    </row>
    <row r="566" ht="15.75" customHeight="1">
      <c r="A566" s="22"/>
      <c r="B566" s="22"/>
      <c r="C566" s="22"/>
    </row>
    <row r="567" ht="15.75" customHeight="1">
      <c r="A567" s="22"/>
      <c r="B567" s="22"/>
      <c r="C567" s="22"/>
    </row>
    <row r="568" ht="15.75" customHeight="1">
      <c r="A568" s="22"/>
      <c r="B568" s="22"/>
      <c r="C568" s="22"/>
    </row>
    <row r="569" ht="15.75" customHeight="1">
      <c r="A569" s="22"/>
      <c r="B569" s="22"/>
      <c r="C569" s="22"/>
    </row>
    <row r="570" ht="15.75" customHeight="1">
      <c r="A570" s="22"/>
      <c r="B570" s="22"/>
      <c r="C570" s="22"/>
    </row>
    <row r="571" ht="15.75" customHeight="1">
      <c r="A571" s="22"/>
      <c r="B571" s="22"/>
      <c r="C571" s="22"/>
    </row>
    <row r="572" ht="15.75" customHeight="1">
      <c r="A572" s="22"/>
      <c r="B572" s="22"/>
      <c r="C572" s="22"/>
    </row>
    <row r="573" ht="15.75" customHeight="1">
      <c r="A573" s="22"/>
      <c r="B573" s="22"/>
      <c r="C573" s="22"/>
    </row>
    <row r="574" ht="15.75" customHeight="1">
      <c r="A574" s="22"/>
      <c r="B574" s="22"/>
      <c r="C574" s="22"/>
    </row>
    <row r="575" ht="15.75" customHeight="1">
      <c r="A575" s="22"/>
      <c r="B575" s="22"/>
      <c r="C575" s="22"/>
    </row>
    <row r="576" ht="15.75" customHeight="1">
      <c r="A576" s="22"/>
      <c r="B576" s="22"/>
      <c r="C576" s="22"/>
    </row>
    <row r="577" ht="15.75" customHeight="1">
      <c r="A577" s="22"/>
      <c r="B577" s="22"/>
      <c r="C577" s="22"/>
    </row>
    <row r="578" ht="15.75" customHeight="1">
      <c r="A578" s="22"/>
      <c r="B578" s="22"/>
      <c r="C578" s="22"/>
    </row>
    <row r="579" ht="15.75" customHeight="1">
      <c r="A579" s="22"/>
      <c r="B579" s="22"/>
      <c r="C579" s="22"/>
    </row>
    <row r="580" ht="15.75" customHeight="1">
      <c r="A580" s="22"/>
      <c r="B580" s="22"/>
      <c r="C580" s="22"/>
    </row>
    <row r="581" ht="15.75" customHeight="1">
      <c r="A581" s="22"/>
      <c r="B581" s="22"/>
      <c r="C581" s="22"/>
    </row>
    <row r="582" ht="15.75" customHeight="1">
      <c r="A582" s="22"/>
      <c r="B582" s="22"/>
      <c r="C582" s="22"/>
    </row>
    <row r="583" ht="15.75" customHeight="1">
      <c r="A583" s="22"/>
      <c r="B583" s="22"/>
      <c r="C583" s="22"/>
    </row>
    <row r="584" ht="15.75" customHeight="1">
      <c r="A584" s="22"/>
      <c r="B584" s="22"/>
      <c r="C584" s="22"/>
    </row>
    <row r="585" ht="15.75" customHeight="1">
      <c r="A585" s="22"/>
      <c r="B585" s="22"/>
      <c r="C585" s="22"/>
    </row>
    <row r="586" ht="15.75" customHeight="1">
      <c r="A586" s="22"/>
      <c r="B586" s="22"/>
      <c r="C586" s="22"/>
    </row>
    <row r="587" ht="15.75" customHeight="1">
      <c r="A587" s="22"/>
      <c r="B587" s="22"/>
      <c r="C587" s="22"/>
    </row>
    <row r="588" ht="15.75" customHeight="1">
      <c r="A588" s="22"/>
      <c r="B588" s="22"/>
      <c r="C588" s="22"/>
    </row>
    <row r="589" ht="15.75" customHeight="1">
      <c r="A589" s="22"/>
      <c r="B589" s="22"/>
      <c r="C589" s="22"/>
    </row>
    <row r="590" ht="15.75" customHeight="1">
      <c r="A590" s="22"/>
      <c r="B590" s="22"/>
      <c r="C590" s="22"/>
    </row>
    <row r="591" ht="15.75" customHeight="1">
      <c r="A591" s="22"/>
      <c r="B591" s="22"/>
      <c r="C591" s="22"/>
    </row>
    <row r="592" ht="15.75" customHeight="1">
      <c r="A592" s="22"/>
      <c r="B592" s="22"/>
      <c r="C592" s="22"/>
    </row>
    <row r="593" ht="15.75" customHeight="1">
      <c r="A593" s="22"/>
      <c r="B593" s="22"/>
      <c r="C593" s="22"/>
    </row>
    <row r="594" ht="15.75" customHeight="1">
      <c r="A594" s="22"/>
      <c r="B594" s="22"/>
      <c r="C594" s="22"/>
    </row>
    <row r="595" ht="15.75" customHeight="1">
      <c r="A595" s="22"/>
      <c r="B595" s="22"/>
      <c r="C595" s="22"/>
    </row>
    <row r="596" ht="15.75" customHeight="1">
      <c r="A596" s="22"/>
      <c r="B596" s="22"/>
      <c r="C596" s="22"/>
    </row>
    <row r="597" ht="15.75" customHeight="1">
      <c r="A597" s="22"/>
      <c r="B597" s="22"/>
      <c r="C597" s="22"/>
    </row>
    <row r="598" ht="15.75" customHeight="1">
      <c r="A598" s="22"/>
      <c r="B598" s="22"/>
      <c r="C598" s="22"/>
    </row>
    <row r="599" ht="15.75" customHeight="1">
      <c r="A599" s="22"/>
      <c r="B599" s="22"/>
      <c r="C599" s="22"/>
    </row>
    <row r="600" ht="15.75" customHeight="1">
      <c r="A600" s="22"/>
      <c r="B600" s="22"/>
      <c r="C600" s="22"/>
    </row>
    <row r="601" ht="15.75" customHeight="1">
      <c r="A601" s="22"/>
      <c r="B601" s="22"/>
      <c r="C601" s="22"/>
    </row>
    <row r="602" ht="15.75" customHeight="1">
      <c r="A602" s="22"/>
      <c r="B602" s="22"/>
      <c r="C602" s="22"/>
    </row>
    <row r="603" ht="15.75" customHeight="1">
      <c r="A603" s="22"/>
      <c r="B603" s="22"/>
      <c r="C603" s="22"/>
    </row>
    <row r="604" ht="15.75" customHeight="1">
      <c r="A604" s="22"/>
      <c r="B604" s="22"/>
      <c r="C604" s="22"/>
    </row>
    <row r="605" ht="15.75" customHeight="1">
      <c r="A605" s="22"/>
      <c r="B605" s="22"/>
      <c r="C605" s="22"/>
    </row>
    <row r="606" ht="15.75" customHeight="1">
      <c r="A606" s="22"/>
      <c r="B606" s="22"/>
      <c r="C606" s="22"/>
    </row>
    <row r="607" ht="15.75" customHeight="1">
      <c r="A607" s="22"/>
      <c r="B607" s="22"/>
      <c r="C607" s="22"/>
    </row>
    <row r="608" ht="15.75" customHeight="1">
      <c r="A608" s="22"/>
      <c r="B608" s="22"/>
      <c r="C608" s="22"/>
    </row>
    <row r="609" ht="15.75" customHeight="1">
      <c r="A609" s="22"/>
      <c r="B609" s="22"/>
      <c r="C609" s="22"/>
    </row>
    <row r="610" ht="15.75" customHeight="1">
      <c r="A610" s="22"/>
      <c r="B610" s="22"/>
      <c r="C610" s="22"/>
    </row>
    <row r="611" ht="15.75" customHeight="1">
      <c r="A611" s="22"/>
      <c r="B611" s="22"/>
      <c r="C611" s="22"/>
    </row>
    <row r="612" ht="15.75" customHeight="1">
      <c r="A612" s="22"/>
      <c r="B612" s="22"/>
      <c r="C612" s="22"/>
    </row>
    <row r="613" ht="15.75" customHeight="1">
      <c r="A613" s="22"/>
      <c r="B613" s="22"/>
      <c r="C613" s="22"/>
    </row>
    <row r="614" ht="15.75" customHeight="1">
      <c r="A614" s="22"/>
      <c r="B614" s="22"/>
      <c r="C614" s="22"/>
    </row>
    <row r="615" ht="15.75" customHeight="1">
      <c r="A615" s="22"/>
      <c r="B615" s="22"/>
      <c r="C615" s="22"/>
    </row>
    <row r="616" ht="15.75" customHeight="1">
      <c r="A616" s="22"/>
      <c r="B616" s="22"/>
      <c r="C616" s="22"/>
    </row>
    <row r="617" ht="15.75" customHeight="1">
      <c r="A617" s="22"/>
      <c r="B617" s="22"/>
      <c r="C617" s="22"/>
    </row>
    <row r="618" ht="15.75" customHeight="1">
      <c r="A618" s="22"/>
      <c r="B618" s="22"/>
      <c r="C618" s="22"/>
    </row>
    <row r="619" ht="15.75" customHeight="1">
      <c r="A619" s="22"/>
      <c r="B619" s="22"/>
      <c r="C619" s="22"/>
    </row>
    <row r="620" ht="15.75" customHeight="1">
      <c r="A620" s="22"/>
      <c r="B620" s="22"/>
      <c r="C620" s="22"/>
    </row>
    <row r="621" ht="15.75" customHeight="1">
      <c r="A621" s="22"/>
      <c r="B621" s="22"/>
      <c r="C621" s="22"/>
    </row>
    <row r="622" ht="15.75" customHeight="1">
      <c r="A622" s="22"/>
      <c r="B622" s="22"/>
      <c r="C622" s="22"/>
    </row>
    <row r="623" ht="15.75" customHeight="1">
      <c r="A623" s="22"/>
      <c r="B623" s="22"/>
      <c r="C623" s="22"/>
    </row>
    <row r="624" ht="15.75" customHeight="1">
      <c r="A624" s="22"/>
      <c r="B624" s="22"/>
      <c r="C624" s="22"/>
    </row>
    <row r="625" ht="15.75" customHeight="1">
      <c r="A625" s="22"/>
      <c r="B625" s="22"/>
      <c r="C625" s="22"/>
    </row>
    <row r="626" ht="15.75" customHeight="1">
      <c r="A626" s="22"/>
      <c r="B626" s="22"/>
      <c r="C626" s="22"/>
    </row>
    <row r="627" ht="15.75" customHeight="1">
      <c r="A627" s="22"/>
      <c r="B627" s="22"/>
      <c r="C627" s="22"/>
    </row>
    <row r="628" ht="15.75" customHeight="1">
      <c r="A628" s="22"/>
      <c r="B628" s="22"/>
      <c r="C628" s="22"/>
    </row>
    <row r="629" ht="15.75" customHeight="1">
      <c r="A629" s="22"/>
      <c r="B629" s="22"/>
      <c r="C629" s="22"/>
    </row>
    <row r="630" ht="15.75" customHeight="1">
      <c r="A630" s="22"/>
      <c r="B630" s="22"/>
      <c r="C630" s="22"/>
    </row>
    <row r="631" ht="15.75" customHeight="1">
      <c r="A631" s="22"/>
      <c r="B631" s="22"/>
      <c r="C631" s="22"/>
    </row>
    <row r="632" ht="15.75" customHeight="1">
      <c r="A632" s="22"/>
      <c r="B632" s="22"/>
      <c r="C632" s="22"/>
    </row>
    <row r="633" ht="15.75" customHeight="1">
      <c r="A633" s="22"/>
      <c r="B633" s="22"/>
      <c r="C633" s="22"/>
    </row>
    <row r="634" ht="15.75" customHeight="1">
      <c r="A634" s="22"/>
      <c r="B634" s="22"/>
      <c r="C634" s="22"/>
    </row>
    <row r="635" ht="15.75" customHeight="1">
      <c r="A635" s="22"/>
      <c r="B635" s="22"/>
      <c r="C635" s="22"/>
    </row>
    <row r="636" ht="15.75" customHeight="1">
      <c r="A636" s="22"/>
      <c r="B636" s="22"/>
      <c r="C636" s="22"/>
    </row>
    <row r="637" ht="15.75" customHeight="1">
      <c r="A637" s="22"/>
      <c r="B637" s="22"/>
      <c r="C637" s="22"/>
    </row>
    <row r="638" ht="15.75" customHeight="1">
      <c r="A638" s="22"/>
      <c r="B638" s="22"/>
      <c r="C638" s="22"/>
    </row>
    <row r="639" ht="15.75" customHeight="1">
      <c r="A639" s="22"/>
      <c r="B639" s="22"/>
      <c r="C639" s="22"/>
    </row>
    <row r="640" ht="15.75" customHeight="1">
      <c r="A640" s="22"/>
      <c r="B640" s="22"/>
      <c r="C640" s="22"/>
    </row>
    <row r="641" ht="15.75" customHeight="1">
      <c r="A641" s="22"/>
      <c r="B641" s="22"/>
      <c r="C641" s="22"/>
    </row>
    <row r="642" ht="15.75" customHeight="1">
      <c r="A642" s="22"/>
      <c r="B642" s="22"/>
      <c r="C642" s="22"/>
    </row>
    <row r="643" ht="15.75" customHeight="1">
      <c r="A643" s="22"/>
      <c r="B643" s="22"/>
      <c r="C643" s="22"/>
    </row>
    <row r="644" ht="15.75" customHeight="1">
      <c r="A644" s="22"/>
      <c r="B644" s="22"/>
      <c r="C644" s="22"/>
    </row>
    <row r="645" ht="15.75" customHeight="1">
      <c r="A645" s="22"/>
      <c r="B645" s="22"/>
      <c r="C645" s="22"/>
    </row>
    <row r="646" ht="15.75" customHeight="1">
      <c r="A646" s="22"/>
      <c r="B646" s="22"/>
      <c r="C646" s="22"/>
    </row>
    <row r="647" ht="15.75" customHeight="1">
      <c r="A647" s="22"/>
      <c r="B647" s="22"/>
      <c r="C647" s="22"/>
    </row>
    <row r="648" ht="15.75" customHeight="1">
      <c r="A648" s="22"/>
      <c r="B648" s="22"/>
      <c r="C648" s="22"/>
    </row>
    <row r="649" ht="15.75" customHeight="1">
      <c r="A649" s="22"/>
      <c r="B649" s="22"/>
      <c r="C649" s="22"/>
    </row>
    <row r="650" ht="15.75" customHeight="1">
      <c r="A650" s="22"/>
      <c r="B650" s="22"/>
      <c r="C650" s="22"/>
    </row>
    <row r="651" ht="15.75" customHeight="1">
      <c r="A651" s="22"/>
      <c r="B651" s="22"/>
      <c r="C651" s="22"/>
    </row>
    <row r="652" ht="15.75" customHeight="1">
      <c r="A652" s="22"/>
      <c r="B652" s="22"/>
      <c r="C652" s="22"/>
    </row>
    <row r="653" ht="15.75" customHeight="1">
      <c r="A653" s="22"/>
      <c r="B653" s="22"/>
      <c r="C653" s="22"/>
    </row>
    <row r="654" ht="15.75" customHeight="1">
      <c r="A654" s="22"/>
      <c r="B654" s="22"/>
      <c r="C654" s="22"/>
    </row>
    <row r="655" ht="15.75" customHeight="1">
      <c r="A655" s="22"/>
      <c r="B655" s="22"/>
      <c r="C655" s="22"/>
    </row>
    <row r="656" ht="15.75" customHeight="1">
      <c r="A656" s="22"/>
      <c r="B656" s="22"/>
      <c r="C656" s="22"/>
    </row>
    <row r="657" ht="15.75" customHeight="1">
      <c r="A657" s="22"/>
      <c r="B657" s="22"/>
      <c r="C657" s="22"/>
    </row>
    <row r="658" ht="15.75" customHeight="1">
      <c r="A658" s="22"/>
      <c r="B658" s="22"/>
      <c r="C658" s="22"/>
    </row>
    <row r="659" ht="15.75" customHeight="1">
      <c r="A659" s="22"/>
      <c r="B659" s="22"/>
      <c r="C659" s="22"/>
    </row>
    <row r="660" ht="15.75" customHeight="1">
      <c r="A660" s="22"/>
      <c r="B660" s="22"/>
      <c r="C660" s="22"/>
    </row>
    <row r="661" ht="15.75" customHeight="1">
      <c r="A661" s="22"/>
      <c r="B661" s="22"/>
      <c r="C661" s="22"/>
    </row>
    <row r="662" ht="15.75" customHeight="1">
      <c r="A662" s="22"/>
      <c r="B662" s="22"/>
      <c r="C662" s="22"/>
    </row>
    <row r="663" ht="15.75" customHeight="1">
      <c r="A663" s="22"/>
      <c r="B663" s="22"/>
      <c r="C663" s="22"/>
    </row>
    <row r="664" ht="15.75" customHeight="1">
      <c r="A664" s="22"/>
      <c r="B664" s="22"/>
      <c r="C664" s="22"/>
    </row>
    <row r="665" ht="15.75" customHeight="1">
      <c r="A665" s="22"/>
      <c r="B665" s="22"/>
      <c r="C665" s="22"/>
    </row>
    <row r="666" ht="15.75" customHeight="1">
      <c r="A666" s="22"/>
      <c r="B666" s="22"/>
      <c r="C666" s="22"/>
    </row>
    <row r="667" ht="15.75" customHeight="1">
      <c r="A667" s="22"/>
      <c r="B667" s="22"/>
      <c r="C667" s="22"/>
    </row>
    <row r="668" ht="15.75" customHeight="1">
      <c r="A668" s="22"/>
      <c r="B668" s="22"/>
      <c r="C668" s="22"/>
    </row>
    <row r="669" ht="15.75" customHeight="1">
      <c r="A669" s="22"/>
      <c r="B669" s="22"/>
      <c r="C669" s="22"/>
    </row>
    <row r="670" ht="15.75" customHeight="1">
      <c r="A670" s="22"/>
      <c r="B670" s="22"/>
      <c r="C670" s="22"/>
    </row>
    <row r="671" ht="15.75" customHeight="1">
      <c r="A671" s="22"/>
      <c r="B671" s="22"/>
      <c r="C671" s="22"/>
    </row>
    <row r="672" ht="15.75" customHeight="1">
      <c r="A672" s="22"/>
      <c r="B672" s="22"/>
      <c r="C672" s="22"/>
    </row>
    <row r="673" ht="15.75" customHeight="1">
      <c r="A673" s="22"/>
      <c r="B673" s="22"/>
      <c r="C673" s="22"/>
    </row>
    <row r="674" ht="15.75" customHeight="1">
      <c r="A674" s="22"/>
      <c r="B674" s="22"/>
      <c r="C674" s="22"/>
    </row>
    <row r="675" ht="15.75" customHeight="1">
      <c r="A675" s="22"/>
      <c r="B675" s="22"/>
      <c r="C675" s="22"/>
    </row>
    <row r="676" ht="15.75" customHeight="1">
      <c r="A676" s="22"/>
      <c r="B676" s="22"/>
      <c r="C676" s="22"/>
    </row>
    <row r="677" ht="15.75" customHeight="1">
      <c r="A677" s="22"/>
      <c r="B677" s="22"/>
      <c r="C677" s="22"/>
    </row>
    <row r="678" ht="15.75" customHeight="1">
      <c r="A678" s="22"/>
      <c r="B678" s="22"/>
      <c r="C678" s="22"/>
    </row>
    <row r="679" ht="15.75" customHeight="1">
      <c r="A679" s="22"/>
      <c r="B679" s="22"/>
      <c r="C679" s="22"/>
    </row>
    <row r="680" ht="15.75" customHeight="1">
      <c r="A680" s="22"/>
      <c r="B680" s="22"/>
      <c r="C680" s="22"/>
    </row>
    <row r="681" ht="15.75" customHeight="1">
      <c r="A681" s="22"/>
      <c r="B681" s="22"/>
      <c r="C681" s="22"/>
    </row>
    <row r="682" ht="15.75" customHeight="1">
      <c r="A682" s="22"/>
      <c r="B682" s="22"/>
      <c r="C682" s="22"/>
    </row>
    <row r="683" ht="15.75" customHeight="1">
      <c r="A683" s="22"/>
      <c r="B683" s="22"/>
      <c r="C683" s="22"/>
    </row>
    <row r="684" ht="15.75" customHeight="1">
      <c r="A684" s="22"/>
      <c r="B684" s="22"/>
      <c r="C684" s="22"/>
    </row>
    <row r="685" ht="15.75" customHeight="1">
      <c r="A685" s="22"/>
      <c r="B685" s="22"/>
      <c r="C685" s="22"/>
    </row>
    <row r="686" ht="15.75" customHeight="1">
      <c r="A686" s="22"/>
      <c r="B686" s="22"/>
      <c r="C686" s="22"/>
    </row>
    <row r="687" ht="15.75" customHeight="1">
      <c r="A687" s="22"/>
      <c r="B687" s="22"/>
      <c r="C687" s="22"/>
    </row>
    <row r="688" ht="15.75" customHeight="1">
      <c r="A688" s="22"/>
      <c r="B688" s="22"/>
      <c r="C688" s="22"/>
    </row>
    <row r="689" ht="15.75" customHeight="1">
      <c r="A689" s="22"/>
      <c r="B689" s="22"/>
      <c r="C689" s="22"/>
    </row>
    <row r="690" ht="15.75" customHeight="1">
      <c r="A690" s="22"/>
      <c r="B690" s="22"/>
      <c r="C690" s="22"/>
    </row>
    <row r="691" ht="15.75" customHeight="1">
      <c r="A691" s="22"/>
      <c r="B691" s="22"/>
      <c r="C691" s="22"/>
    </row>
    <row r="692" ht="15.75" customHeight="1">
      <c r="A692" s="22"/>
      <c r="B692" s="22"/>
      <c r="C692" s="22"/>
    </row>
    <row r="693" ht="15.75" customHeight="1">
      <c r="A693" s="22"/>
      <c r="B693" s="22"/>
      <c r="C693" s="22"/>
    </row>
    <row r="694" ht="15.75" customHeight="1">
      <c r="A694" s="22"/>
      <c r="B694" s="22"/>
      <c r="C694" s="22"/>
    </row>
    <row r="695" ht="15.75" customHeight="1">
      <c r="A695" s="22"/>
      <c r="B695" s="22"/>
      <c r="C695" s="22"/>
    </row>
    <row r="696" ht="15.75" customHeight="1">
      <c r="A696" s="22"/>
      <c r="B696" s="22"/>
      <c r="C696" s="22"/>
    </row>
    <row r="697" ht="15.75" customHeight="1">
      <c r="A697" s="22"/>
      <c r="B697" s="22"/>
      <c r="C697" s="22"/>
    </row>
    <row r="698" ht="15.75" customHeight="1">
      <c r="A698" s="22"/>
      <c r="B698" s="22"/>
      <c r="C698" s="22"/>
    </row>
    <row r="699" ht="15.75" customHeight="1">
      <c r="A699" s="22"/>
      <c r="B699" s="22"/>
      <c r="C699" s="22"/>
    </row>
    <row r="700" ht="15.75" customHeight="1">
      <c r="A700" s="22"/>
      <c r="B700" s="22"/>
      <c r="C700" s="22"/>
    </row>
    <row r="701" ht="15.75" customHeight="1">
      <c r="A701" s="22"/>
      <c r="B701" s="22"/>
      <c r="C701" s="22"/>
    </row>
    <row r="702" ht="15.75" customHeight="1">
      <c r="A702" s="22"/>
      <c r="B702" s="22"/>
      <c r="C702" s="22"/>
    </row>
    <row r="703" ht="15.75" customHeight="1">
      <c r="A703" s="22"/>
      <c r="B703" s="22"/>
      <c r="C703" s="22"/>
    </row>
    <row r="704" ht="15.75" customHeight="1">
      <c r="A704" s="22"/>
      <c r="B704" s="22"/>
      <c r="C704" s="22"/>
    </row>
    <row r="705" ht="15.75" customHeight="1">
      <c r="A705" s="22"/>
      <c r="B705" s="22"/>
      <c r="C705" s="22"/>
    </row>
    <row r="706" ht="15.75" customHeight="1">
      <c r="A706" s="22"/>
      <c r="B706" s="22"/>
      <c r="C706" s="22"/>
    </row>
    <row r="707" ht="15.75" customHeight="1">
      <c r="A707" s="22"/>
      <c r="B707" s="22"/>
      <c r="C707" s="22"/>
    </row>
    <row r="708" ht="15.75" customHeight="1">
      <c r="A708" s="22"/>
      <c r="B708" s="22"/>
      <c r="C708" s="22"/>
    </row>
    <row r="709" ht="15.75" customHeight="1">
      <c r="A709" s="22"/>
      <c r="B709" s="22"/>
      <c r="C709" s="22"/>
    </row>
    <row r="710" ht="15.75" customHeight="1">
      <c r="A710" s="22"/>
      <c r="B710" s="22"/>
      <c r="C710" s="22"/>
    </row>
    <row r="711" ht="15.75" customHeight="1">
      <c r="A711" s="22"/>
      <c r="B711" s="22"/>
      <c r="C711" s="22"/>
    </row>
    <row r="712" ht="15.75" customHeight="1">
      <c r="A712" s="22"/>
      <c r="B712" s="22"/>
      <c r="C712" s="22"/>
    </row>
    <row r="713" ht="15.75" customHeight="1">
      <c r="A713" s="22"/>
      <c r="B713" s="22"/>
      <c r="C713" s="22"/>
    </row>
    <row r="714" ht="15.75" customHeight="1">
      <c r="A714" s="22"/>
      <c r="B714" s="22"/>
      <c r="C714" s="22"/>
    </row>
    <row r="715" ht="15.75" customHeight="1">
      <c r="A715" s="22"/>
      <c r="B715" s="22"/>
      <c r="C715" s="22"/>
    </row>
    <row r="716" ht="15.75" customHeight="1">
      <c r="A716" s="22"/>
      <c r="B716" s="22"/>
      <c r="C716" s="22"/>
    </row>
    <row r="717" ht="15.75" customHeight="1">
      <c r="A717" s="22"/>
      <c r="B717" s="22"/>
      <c r="C717" s="22"/>
    </row>
    <row r="718" ht="15.75" customHeight="1">
      <c r="A718" s="22"/>
      <c r="B718" s="22"/>
      <c r="C718" s="22"/>
    </row>
    <row r="719" ht="15.75" customHeight="1">
      <c r="A719" s="22"/>
      <c r="B719" s="22"/>
      <c r="C719" s="22"/>
    </row>
    <row r="720" ht="15.75" customHeight="1">
      <c r="A720" s="22"/>
      <c r="B720" s="22"/>
      <c r="C720" s="22"/>
    </row>
    <row r="721" ht="15.75" customHeight="1">
      <c r="A721" s="22"/>
      <c r="B721" s="22"/>
      <c r="C721" s="22"/>
    </row>
    <row r="722" ht="15.75" customHeight="1">
      <c r="A722" s="22"/>
      <c r="B722" s="22"/>
      <c r="C722" s="22"/>
    </row>
    <row r="723" ht="15.75" customHeight="1">
      <c r="A723" s="22"/>
      <c r="B723" s="22"/>
      <c r="C723" s="22"/>
    </row>
    <row r="724" ht="15.75" customHeight="1">
      <c r="A724" s="22"/>
      <c r="B724" s="22"/>
      <c r="C724" s="22"/>
    </row>
    <row r="725" ht="15.75" customHeight="1">
      <c r="A725" s="22"/>
      <c r="B725" s="22"/>
      <c r="C725" s="22"/>
    </row>
    <row r="726" ht="15.75" customHeight="1">
      <c r="A726" s="22"/>
      <c r="B726" s="22"/>
      <c r="C726" s="22"/>
    </row>
    <row r="727" ht="15.75" customHeight="1">
      <c r="A727" s="22"/>
      <c r="B727" s="22"/>
      <c r="C727" s="22"/>
    </row>
    <row r="728" ht="15.75" customHeight="1">
      <c r="A728" s="22"/>
      <c r="B728" s="22"/>
      <c r="C728" s="22"/>
    </row>
    <row r="729" ht="15.75" customHeight="1">
      <c r="A729" s="22"/>
      <c r="B729" s="22"/>
      <c r="C729" s="22"/>
    </row>
    <row r="730" ht="15.75" customHeight="1">
      <c r="A730" s="22"/>
      <c r="B730" s="22"/>
      <c r="C730" s="22"/>
    </row>
    <row r="731" ht="15.75" customHeight="1">
      <c r="A731" s="22"/>
      <c r="B731" s="22"/>
      <c r="C731" s="22"/>
    </row>
    <row r="732" ht="15.75" customHeight="1">
      <c r="A732" s="22"/>
      <c r="B732" s="22"/>
      <c r="C732" s="22"/>
    </row>
    <row r="733" ht="15.75" customHeight="1">
      <c r="A733" s="22"/>
      <c r="B733" s="22"/>
      <c r="C733" s="22"/>
    </row>
    <row r="734" ht="15.75" customHeight="1">
      <c r="A734" s="22"/>
      <c r="B734" s="22"/>
      <c r="C734" s="22"/>
    </row>
    <row r="735" ht="15.75" customHeight="1">
      <c r="A735" s="22"/>
      <c r="B735" s="22"/>
      <c r="C735" s="22"/>
    </row>
    <row r="736" ht="15.75" customHeight="1">
      <c r="A736" s="22"/>
      <c r="B736" s="22"/>
      <c r="C736" s="22"/>
    </row>
    <row r="737" ht="15.75" customHeight="1">
      <c r="A737" s="22"/>
      <c r="B737" s="22"/>
      <c r="C737" s="22"/>
    </row>
    <row r="738" ht="15.75" customHeight="1">
      <c r="A738" s="22"/>
      <c r="B738" s="22"/>
      <c r="C738" s="22"/>
    </row>
    <row r="739" ht="15.75" customHeight="1">
      <c r="A739" s="22"/>
      <c r="B739" s="22"/>
      <c r="C739" s="22"/>
    </row>
    <row r="740" ht="15.75" customHeight="1">
      <c r="A740" s="22"/>
      <c r="B740" s="22"/>
      <c r="C740" s="22"/>
    </row>
    <row r="741" ht="15.75" customHeight="1">
      <c r="A741" s="22"/>
      <c r="B741" s="22"/>
      <c r="C741" s="22"/>
    </row>
    <row r="742" ht="15.75" customHeight="1">
      <c r="A742" s="22"/>
      <c r="B742" s="22"/>
      <c r="C742" s="22"/>
    </row>
    <row r="743" ht="15.75" customHeight="1">
      <c r="A743" s="22"/>
      <c r="B743" s="22"/>
      <c r="C743" s="22"/>
    </row>
    <row r="744" ht="15.75" customHeight="1">
      <c r="A744" s="22"/>
      <c r="B744" s="22"/>
      <c r="C744" s="22"/>
    </row>
    <row r="745" ht="15.75" customHeight="1">
      <c r="A745" s="22"/>
      <c r="B745" s="22"/>
      <c r="C745" s="22"/>
    </row>
    <row r="746" ht="15.75" customHeight="1">
      <c r="A746" s="22"/>
      <c r="B746" s="22"/>
      <c r="C746" s="22"/>
    </row>
    <row r="747" ht="15.75" customHeight="1">
      <c r="A747" s="22"/>
      <c r="B747" s="22"/>
      <c r="C747" s="22"/>
    </row>
    <row r="748" ht="15.75" customHeight="1">
      <c r="A748" s="22"/>
      <c r="B748" s="22"/>
      <c r="C748" s="22"/>
    </row>
    <row r="749" ht="15.75" customHeight="1">
      <c r="A749" s="22"/>
      <c r="B749" s="22"/>
      <c r="C749" s="22"/>
    </row>
    <row r="750" ht="15.75" customHeight="1">
      <c r="A750" s="22"/>
      <c r="B750" s="22"/>
      <c r="C750" s="22"/>
    </row>
    <row r="751" ht="15.75" customHeight="1">
      <c r="A751" s="22"/>
      <c r="B751" s="22"/>
      <c r="C751" s="22"/>
    </row>
    <row r="752" ht="15.75" customHeight="1">
      <c r="A752" s="22"/>
      <c r="B752" s="22"/>
      <c r="C752" s="22"/>
    </row>
    <row r="753" ht="15.75" customHeight="1">
      <c r="A753" s="22"/>
      <c r="B753" s="22"/>
      <c r="C753" s="22"/>
    </row>
    <row r="754" ht="15.75" customHeight="1">
      <c r="A754" s="22"/>
      <c r="B754" s="22"/>
      <c r="C754" s="22"/>
    </row>
    <row r="755" ht="15.75" customHeight="1">
      <c r="A755" s="22"/>
      <c r="B755" s="22"/>
      <c r="C755" s="22"/>
    </row>
    <row r="756" ht="15.75" customHeight="1">
      <c r="A756" s="22"/>
      <c r="B756" s="22"/>
      <c r="C756" s="22"/>
    </row>
    <row r="757" ht="15.75" customHeight="1">
      <c r="A757" s="22"/>
      <c r="B757" s="22"/>
      <c r="C757" s="22"/>
    </row>
    <row r="758" ht="15.75" customHeight="1">
      <c r="A758" s="22"/>
      <c r="B758" s="22"/>
      <c r="C758" s="22"/>
    </row>
    <row r="759" ht="15.75" customHeight="1">
      <c r="A759" s="22"/>
      <c r="B759" s="22"/>
      <c r="C759" s="22"/>
    </row>
    <row r="760" ht="15.75" customHeight="1">
      <c r="A760" s="22"/>
      <c r="B760" s="22"/>
      <c r="C760" s="22"/>
    </row>
    <row r="761" ht="15.75" customHeight="1">
      <c r="A761" s="22"/>
      <c r="B761" s="22"/>
      <c r="C761" s="22"/>
    </row>
    <row r="762" ht="15.75" customHeight="1">
      <c r="A762" s="22"/>
      <c r="B762" s="22"/>
      <c r="C762" s="22"/>
    </row>
    <row r="763" ht="15.75" customHeight="1">
      <c r="A763" s="22"/>
      <c r="B763" s="22"/>
      <c r="C763" s="22"/>
    </row>
    <row r="764" ht="15.75" customHeight="1">
      <c r="A764" s="22"/>
      <c r="B764" s="22"/>
      <c r="C764" s="22"/>
    </row>
    <row r="765" ht="15.75" customHeight="1">
      <c r="A765" s="22"/>
      <c r="B765" s="22"/>
      <c r="C765" s="22"/>
    </row>
    <row r="766" ht="15.75" customHeight="1">
      <c r="A766" s="22"/>
      <c r="B766" s="22"/>
      <c r="C766" s="22"/>
    </row>
    <row r="767" ht="15.75" customHeight="1">
      <c r="A767" s="22"/>
      <c r="B767" s="22"/>
      <c r="C767" s="22"/>
    </row>
    <row r="768" ht="15.75" customHeight="1">
      <c r="A768" s="22"/>
      <c r="B768" s="22"/>
      <c r="C768" s="22"/>
    </row>
    <row r="769" ht="15.75" customHeight="1">
      <c r="A769" s="22"/>
      <c r="B769" s="22"/>
      <c r="C769" s="22"/>
    </row>
    <row r="770" ht="15.75" customHeight="1">
      <c r="A770" s="22"/>
      <c r="B770" s="22"/>
      <c r="C770" s="22"/>
    </row>
    <row r="771" ht="15.75" customHeight="1">
      <c r="A771" s="22"/>
      <c r="B771" s="22"/>
      <c r="C771" s="22"/>
    </row>
    <row r="772" ht="15.75" customHeight="1">
      <c r="A772" s="22"/>
      <c r="B772" s="22"/>
      <c r="C772" s="22"/>
    </row>
    <row r="773" ht="15.75" customHeight="1">
      <c r="A773" s="22"/>
      <c r="B773" s="22"/>
      <c r="C773" s="22"/>
    </row>
    <row r="774" ht="15.75" customHeight="1">
      <c r="A774" s="22"/>
      <c r="B774" s="22"/>
      <c r="C774" s="22"/>
    </row>
    <row r="775" ht="15.75" customHeight="1">
      <c r="A775" s="22"/>
      <c r="B775" s="22"/>
      <c r="C775" s="22"/>
    </row>
    <row r="776" ht="15.75" customHeight="1">
      <c r="A776" s="22"/>
      <c r="B776" s="22"/>
      <c r="C776" s="22"/>
    </row>
    <row r="777" ht="15.75" customHeight="1">
      <c r="A777" s="22"/>
      <c r="B777" s="22"/>
      <c r="C777" s="22"/>
    </row>
    <row r="778" ht="15.75" customHeight="1">
      <c r="A778" s="22"/>
      <c r="B778" s="22"/>
      <c r="C778" s="22"/>
    </row>
    <row r="779" ht="15.75" customHeight="1">
      <c r="A779" s="22"/>
      <c r="B779" s="22"/>
      <c r="C779" s="22"/>
    </row>
    <row r="780" ht="15.75" customHeight="1">
      <c r="A780" s="22"/>
      <c r="B780" s="22"/>
      <c r="C780" s="22"/>
    </row>
    <row r="781" ht="15.75" customHeight="1">
      <c r="A781" s="22"/>
      <c r="B781" s="22"/>
      <c r="C781" s="22"/>
    </row>
    <row r="782" ht="15.75" customHeight="1">
      <c r="A782" s="22"/>
      <c r="B782" s="22"/>
      <c r="C782" s="22"/>
    </row>
    <row r="783" ht="15.75" customHeight="1">
      <c r="A783" s="22"/>
      <c r="B783" s="22"/>
      <c r="C783" s="22"/>
    </row>
    <row r="784" ht="15.75" customHeight="1">
      <c r="A784" s="22"/>
      <c r="B784" s="22"/>
      <c r="C784" s="22"/>
    </row>
    <row r="785" ht="15.75" customHeight="1">
      <c r="A785" s="22"/>
      <c r="B785" s="22"/>
      <c r="C785" s="22"/>
    </row>
    <row r="786" ht="15.75" customHeight="1">
      <c r="A786" s="22"/>
      <c r="B786" s="22"/>
      <c r="C786" s="22"/>
    </row>
    <row r="787" ht="15.75" customHeight="1">
      <c r="A787" s="22"/>
      <c r="B787" s="22"/>
      <c r="C787" s="22"/>
    </row>
    <row r="788" ht="15.75" customHeight="1">
      <c r="A788" s="22"/>
      <c r="B788" s="22"/>
      <c r="C788" s="22"/>
    </row>
    <row r="789" ht="15.75" customHeight="1">
      <c r="A789" s="22"/>
      <c r="B789" s="22"/>
      <c r="C789" s="22"/>
    </row>
    <row r="790" ht="15.75" customHeight="1">
      <c r="A790" s="22"/>
      <c r="B790" s="22"/>
      <c r="C790" s="22"/>
    </row>
    <row r="791" ht="15.75" customHeight="1">
      <c r="A791" s="22"/>
      <c r="B791" s="22"/>
      <c r="C791" s="22"/>
    </row>
    <row r="792" ht="15.75" customHeight="1">
      <c r="A792" s="22"/>
      <c r="B792" s="22"/>
      <c r="C792" s="22"/>
    </row>
    <row r="793" ht="15.75" customHeight="1">
      <c r="A793" s="22"/>
      <c r="B793" s="22"/>
      <c r="C793" s="22"/>
    </row>
    <row r="794" ht="15.75" customHeight="1">
      <c r="A794" s="22"/>
      <c r="B794" s="22"/>
      <c r="C794" s="22"/>
    </row>
    <row r="795" ht="15.75" customHeight="1">
      <c r="A795" s="22"/>
      <c r="B795" s="22"/>
      <c r="C795" s="22"/>
    </row>
    <row r="796" ht="15.75" customHeight="1">
      <c r="A796" s="22"/>
      <c r="B796" s="22"/>
      <c r="C796" s="22"/>
    </row>
    <row r="797" ht="15.75" customHeight="1">
      <c r="A797" s="22"/>
      <c r="B797" s="22"/>
      <c r="C797" s="22"/>
    </row>
    <row r="798" ht="15.75" customHeight="1">
      <c r="A798" s="22"/>
      <c r="B798" s="22"/>
      <c r="C798" s="22"/>
    </row>
    <row r="799" ht="15.75" customHeight="1">
      <c r="A799" s="22"/>
      <c r="B799" s="22"/>
      <c r="C799" s="22"/>
    </row>
    <row r="800" ht="15.75" customHeight="1">
      <c r="A800" s="22"/>
      <c r="B800" s="22"/>
      <c r="C800" s="22"/>
    </row>
    <row r="801" ht="15.75" customHeight="1">
      <c r="A801" s="22"/>
      <c r="B801" s="22"/>
      <c r="C801" s="22"/>
    </row>
    <row r="802" ht="15.75" customHeight="1">
      <c r="A802" s="22"/>
      <c r="B802" s="22"/>
      <c r="C802" s="22"/>
    </row>
    <row r="803" ht="15.75" customHeight="1">
      <c r="A803" s="22"/>
      <c r="B803" s="22"/>
      <c r="C803" s="22"/>
    </row>
    <row r="804" ht="15.75" customHeight="1">
      <c r="A804" s="22"/>
      <c r="B804" s="22"/>
      <c r="C804" s="22"/>
    </row>
    <row r="805" ht="15.75" customHeight="1">
      <c r="A805" s="22"/>
      <c r="B805" s="22"/>
      <c r="C805" s="22"/>
    </row>
    <row r="806" ht="15.75" customHeight="1">
      <c r="A806" s="22"/>
      <c r="B806" s="22"/>
      <c r="C806" s="22"/>
    </row>
    <row r="807" ht="15.75" customHeight="1">
      <c r="A807" s="22"/>
      <c r="B807" s="22"/>
      <c r="C807" s="22"/>
    </row>
    <row r="808" ht="15.75" customHeight="1">
      <c r="A808" s="22"/>
      <c r="B808" s="22"/>
      <c r="C808" s="22"/>
    </row>
    <row r="809" ht="15.75" customHeight="1">
      <c r="A809" s="22"/>
      <c r="B809" s="22"/>
      <c r="C809" s="22"/>
    </row>
    <row r="810" ht="15.75" customHeight="1">
      <c r="A810" s="22"/>
      <c r="B810" s="22"/>
      <c r="C810" s="22"/>
    </row>
    <row r="811" ht="15.75" customHeight="1">
      <c r="A811" s="22"/>
      <c r="B811" s="22"/>
      <c r="C811" s="22"/>
    </row>
    <row r="812" ht="15.75" customHeight="1">
      <c r="A812" s="22"/>
      <c r="B812" s="22"/>
      <c r="C812" s="22"/>
    </row>
    <row r="813" ht="15.75" customHeight="1">
      <c r="A813" s="22"/>
      <c r="B813" s="22"/>
      <c r="C813" s="22"/>
    </row>
    <row r="814" ht="15.75" customHeight="1">
      <c r="A814" s="22"/>
      <c r="B814" s="22"/>
      <c r="C814" s="22"/>
    </row>
    <row r="815" ht="15.75" customHeight="1">
      <c r="A815" s="22"/>
      <c r="B815" s="22"/>
      <c r="C815" s="22"/>
    </row>
    <row r="816" ht="15.75" customHeight="1">
      <c r="A816" s="22"/>
      <c r="B816" s="22"/>
      <c r="C816" s="22"/>
    </row>
    <row r="817" ht="15.75" customHeight="1">
      <c r="A817" s="22"/>
      <c r="B817" s="22"/>
      <c r="C817" s="22"/>
    </row>
    <row r="818" ht="15.75" customHeight="1">
      <c r="A818" s="22"/>
      <c r="B818" s="22"/>
      <c r="C818" s="22"/>
    </row>
    <row r="819" ht="15.75" customHeight="1">
      <c r="A819" s="22"/>
      <c r="B819" s="22"/>
      <c r="C819" s="22"/>
    </row>
    <row r="820" ht="15.75" customHeight="1">
      <c r="A820" s="22"/>
      <c r="B820" s="22"/>
      <c r="C820" s="22"/>
    </row>
    <row r="821" ht="15.75" customHeight="1">
      <c r="A821" s="22"/>
      <c r="B821" s="22"/>
      <c r="C821" s="22"/>
    </row>
    <row r="822" ht="15.75" customHeight="1">
      <c r="A822" s="22"/>
      <c r="B822" s="22"/>
      <c r="C822" s="22"/>
    </row>
    <row r="823" ht="15.75" customHeight="1">
      <c r="A823" s="22"/>
      <c r="B823" s="22"/>
      <c r="C823" s="22"/>
    </row>
    <row r="824" ht="15.75" customHeight="1">
      <c r="A824" s="22"/>
      <c r="B824" s="22"/>
      <c r="C824" s="22"/>
    </row>
    <row r="825" ht="15.75" customHeight="1">
      <c r="A825" s="22"/>
      <c r="B825" s="22"/>
      <c r="C825" s="22"/>
    </row>
    <row r="826" ht="15.75" customHeight="1">
      <c r="A826" s="22"/>
      <c r="B826" s="22"/>
      <c r="C826" s="22"/>
    </row>
    <row r="827" ht="15.75" customHeight="1">
      <c r="A827" s="22"/>
      <c r="B827" s="22"/>
      <c r="C827" s="22"/>
    </row>
    <row r="828" ht="15.75" customHeight="1">
      <c r="A828" s="22"/>
      <c r="B828" s="22"/>
      <c r="C828" s="22"/>
    </row>
    <row r="829" ht="15.75" customHeight="1">
      <c r="A829" s="22"/>
      <c r="B829" s="22"/>
      <c r="C829" s="22"/>
    </row>
    <row r="830" ht="15.75" customHeight="1">
      <c r="A830" s="22"/>
      <c r="B830" s="22"/>
      <c r="C830" s="22"/>
    </row>
    <row r="831" ht="15.75" customHeight="1">
      <c r="A831" s="22"/>
      <c r="B831" s="22"/>
      <c r="C831" s="22"/>
    </row>
    <row r="832" ht="15.75" customHeight="1">
      <c r="A832" s="22"/>
      <c r="B832" s="22"/>
      <c r="C832" s="22"/>
    </row>
    <row r="833" ht="15.75" customHeight="1">
      <c r="A833" s="22"/>
      <c r="B833" s="22"/>
      <c r="C833" s="22"/>
    </row>
    <row r="834" ht="15.75" customHeight="1">
      <c r="A834" s="22"/>
      <c r="B834" s="22"/>
      <c r="C834" s="22"/>
    </row>
    <row r="835" ht="15.75" customHeight="1">
      <c r="A835" s="22"/>
      <c r="B835" s="22"/>
      <c r="C835" s="22"/>
    </row>
    <row r="836" ht="15.75" customHeight="1">
      <c r="A836" s="22"/>
      <c r="B836" s="22"/>
      <c r="C836" s="22"/>
    </row>
    <row r="837" ht="15.75" customHeight="1">
      <c r="A837" s="22"/>
      <c r="B837" s="22"/>
      <c r="C837" s="22"/>
    </row>
    <row r="838" ht="15.75" customHeight="1">
      <c r="A838" s="22"/>
      <c r="B838" s="22"/>
      <c r="C838" s="22"/>
    </row>
    <row r="839" ht="15.75" customHeight="1">
      <c r="A839" s="22"/>
      <c r="B839" s="22"/>
      <c r="C839" s="22"/>
    </row>
    <row r="840" ht="15.75" customHeight="1">
      <c r="A840" s="22"/>
      <c r="B840" s="22"/>
      <c r="C840" s="22"/>
    </row>
    <row r="841" ht="15.75" customHeight="1">
      <c r="A841" s="22"/>
      <c r="B841" s="22"/>
      <c r="C841" s="22"/>
    </row>
    <row r="842" ht="15.75" customHeight="1">
      <c r="A842" s="22"/>
      <c r="B842" s="22"/>
      <c r="C842" s="22"/>
    </row>
    <row r="843" ht="15.75" customHeight="1">
      <c r="A843" s="22"/>
      <c r="B843" s="22"/>
      <c r="C843" s="22"/>
    </row>
    <row r="844" ht="15.75" customHeight="1">
      <c r="A844" s="22"/>
      <c r="B844" s="22"/>
      <c r="C844" s="22"/>
    </row>
    <row r="845" ht="15.75" customHeight="1">
      <c r="A845" s="22"/>
      <c r="B845" s="22"/>
      <c r="C845" s="22"/>
    </row>
    <row r="846" ht="15.75" customHeight="1">
      <c r="A846" s="22"/>
      <c r="B846" s="22"/>
      <c r="C846" s="22"/>
    </row>
    <row r="847" ht="15.75" customHeight="1">
      <c r="A847" s="22"/>
      <c r="B847" s="22"/>
      <c r="C847" s="22"/>
    </row>
    <row r="848" ht="15.75" customHeight="1">
      <c r="A848" s="22"/>
      <c r="B848" s="22"/>
      <c r="C848" s="22"/>
    </row>
    <row r="849" ht="15.75" customHeight="1">
      <c r="A849" s="22"/>
      <c r="B849" s="22"/>
      <c r="C849" s="22"/>
    </row>
    <row r="850" ht="15.75" customHeight="1">
      <c r="A850" s="22"/>
      <c r="B850" s="22"/>
      <c r="C850" s="22"/>
    </row>
    <row r="851" ht="15.75" customHeight="1">
      <c r="A851" s="22"/>
      <c r="B851" s="22"/>
      <c r="C851" s="22"/>
    </row>
    <row r="852" ht="15.75" customHeight="1">
      <c r="A852" s="22"/>
      <c r="B852" s="22"/>
      <c r="C852" s="22"/>
    </row>
    <row r="853" ht="15.75" customHeight="1">
      <c r="A853" s="22"/>
      <c r="B853" s="22"/>
      <c r="C853" s="22"/>
    </row>
    <row r="854" ht="15.75" customHeight="1">
      <c r="A854" s="22"/>
      <c r="B854" s="22"/>
      <c r="C854" s="22"/>
    </row>
    <row r="855" ht="15.75" customHeight="1">
      <c r="A855" s="22"/>
      <c r="B855" s="22"/>
      <c r="C855" s="22"/>
    </row>
    <row r="856" ht="15.75" customHeight="1">
      <c r="A856" s="22"/>
      <c r="B856" s="22"/>
      <c r="C856" s="22"/>
    </row>
    <row r="857" ht="15.75" customHeight="1">
      <c r="A857" s="22"/>
      <c r="B857" s="22"/>
      <c r="C857" s="22"/>
    </row>
    <row r="858" ht="15.75" customHeight="1">
      <c r="A858" s="22"/>
      <c r="B858" s="22"/>
      <c r="C858" s="22"/>
    </row>
    <row r="859" ht="15.75" customHeight="1">
      <c r="A859" s="22"/>
      <c r="B859" s="22"/>
      <c r="C859" s="22"/>
    </row>
    <row r="860" ht="15.75" customHeight="1">
      <c r="A860" s="22"/>
      <c r="B860" s="22"/>
      <c r="C860" s="22"/>
    </row>
    <row r="861" ht="15.75" customHeight="1">
      <c r="A861" s="22"/>
      <c r="B861" s="22"/>
      <c r="C861" s="22"/>
    </row>
    <row r="862" ht="15.75" customHeight="1">
      <c r="A862" s="22"/>
      <c r="B862" s="22"/>
      <c r="C862" s="22"/>
    </row>
    <row r="863" ht="15.75" customHeight="1">
      <c r="A863" s="22"/>
      <c r="B863" s="22"/>
      <c r="C863" s="22"/>
    </row>
    <row r="864" ht="15.75" customHeight="1">
      <c r="A864" s="22"/>
      <c r="B864" s="22"/>
      <c r="C864" s="22"/>
    </row>
    <row r="865" ht="15.75" customHeight="1">
      <c r="A865" s="22"/>
      <c r="B865" s="22"/>
      <c r="C865" s="22"/>
    </row>
    <row r="866" ht="15.75" customHeight="1">
      <c r="A866" s="22"/>
      <c r="B866" s="22"/>
      <c r="C866" s="22"/>
    </row>
    <row r="867" ht="15.75" customHeight="1">
      <c r="A867" s="22"/>
      <c r="B867" s="22"/>
      <c r="C867" s="22"/>
    </row>
    <row r="868" ht="15.75" customHeight="1">
      <c r="A868" s="22"/>
      <c r="B868" s="22"/>
      <c r="C868" s="22"/>
    </row>
    <row r="869" ht="15.75" customHeight="1">
      <c r="A869" s="22"/>
      <c r="B869" s="22"/>
      <c r="C869" s="22"/>
    </row>
    <row r="870" ht="15.75" customHeight="1">
      <c r="A870" s="22"/>
      <c r="B870" s="22"/>
      <c r="C870" s="22"/>
    </row>
    <row r="871" ht="15.75" customHeight="1">
      <c r="A871" s="22"/>
      <c r="B871" s="22"/>
      <c r="C871" s="22"/>
    </row>
    <row r="872" ht="15.75" customHeight="1">
      <c r="A872" s="22"/>
      <c r="B872" s="22"/>
      <c r="C872" s="22"/>
    </row>
    <row r="873" ht="15.75" customHeight="1">
      <c r="A873" s="22"/>
      <c r="B873" s="22"/>
      <c r="C873" s="22"/>
    </row>
    <row r="874" ht="15.75" customHeight="1">
      <c r="A874" s="22"/>
      <c r="B874" s="22"/>
      <c r="C874" s="22"/>
    </row>
    <row r="875" ht="15.75" customHeight="1">
      <c r="A875" s="22"/>
      <c r="B875" s="22"/>
      <c r="C875" s="22"/>
    </row>
    <row r="876" ht="15.75" customHeight="1">
      <c r="A876" s="22"/>
      <c r="B876" s="22"/>
      <c r="C876" s="22"/>
    </row>
    <row r="877" ht="15.75" customHeight="1">
      <c r="A877" s="22"/>
      <c r="B877" s="22"/>
      <c r="C877" s="22"/>
    </row>
    <row r="878" ht="15.75" customHeight="1">
      <c r="A878" s="22"/>
      <c r="B878" s="22"/>
      <c r="C878" s="22"/>
    </row>
    <row r="879" ht="15.75" customHeight="1">
      <c r="A879" s="22"/>
      <c r="B879" s="22"/>
      <c r="C879" s="22"/>
    </row>
    <row r="880" ht="15.75" customHeight="1">
      <c r="A880" s="22"/>
      <c r="B880" s="22"/>
      <c r="C880" s="22"/>
    </row>
    <row r="881" ht="15.75" customHeight="1">
      <c r="A881" s="22"/>
      <c r="B881" s="22"/>
      <c r="C881" s="22"/>
    </row>
    <row r="882" ht="15.75" customHeight="1">
      <c r="A882" s="22"/>
      <c r="B882" s="22"/>
      <c r="C882" s="22"/>
    </row>
    <row r="883" ht="15.75" customHeight="1">
      <c r="A883" s="22"/>
      <c r="B883" s="22"/>
      <c r="C883" s="22"/>
    </row>
    <row r="884" ht="15.75" customHeight="1">
      <c r="A884" s="22"/>
      <c r="B884" s="22"/>
      <c r="C884" s="22"/>
    </row>
    <row r="885" ht="15.75" customHeight="1">
      <c r="A885" s="22"/>
      <c r="B885" s="22"/>
      <c r="C885" s="22"/>
    </row>
    <row r="886" ht="15.75" customHeight="1">
      <c r="A886" s="22"/>
      <c r="B886" s="22"/>
      <c r="C886" s="22"/>
    </row>
    <row r="887" ht="15.75" customHeight="1">
      <c r="A887" s="22"/>
      <c r="B887" s="22"/>
      <c r="C887" s="22"/>
    </row>
    <row r="888" ht="15.75" customHeight="1">
      <c r="A888" s="22"/>
      <c r="B888" s="22"/>
      <c r="C888" s="22"/>
    </row>
    <row r="889" ht="15.75" customHeight="1">
      <c r="A889" s="22"/>
      <c r="B889" s="22"/>
      <c r="C889" s="22"/>
    </row>
    <row r="890" ht="15.75" customHeight="1">
      <c r="A890" s="22"/>
      <c r="B890" s="22"/>
      <c r="C890" s="22"/>
    </row>
    <row r="891" ht="15.75" customHeight="1">
      <c r="A891" s="22"/>
      <c r="B891" s="22"/>
      <c r="C891" s="22"/>
    </row>
    <row r="892" ht="15.75" customHeight="1">
      <c r="A892" s="22"/>
      <c r="B892" s="22"/>
      <c r="C892" s="22"/>
    </row>
    <row r="893" ht="15.75" customHeight="1">
      <c r="A893" s="22"/>
      <c r="B893" s="22"/>
      <c r="C893" s="22"/>
    </row>
    <row r="894" ht="15.75" customHeight="1">
      <c r="A894" s="22"/>
      <c r="B894" s="22"/>
      <c r="C894" s="22"/>
    </row>
    <row r="895" ht="15.75" customHeight="1">
      <c r="A895" s="22"/>
      <c r="B895" s="22"/>
      <c r="C895" s="22"/>
    </row>
    <row r="896" ht="15.75" customHeight="1">
      <c r="A896" s="22"/>
      <c r="B896" s="22"/>
      <c r="C896" s="22"/>
    </row>
    <row r="897" ht="15.75" customHeight="1">
      <c r="A897" s="22"/>
      <c r="B897" s="22"/>
      <c r="C897" s="22"/>
    </row>
    <row r="898" ht="15.75" customHeight="1">
      <c r="A898" s="22"/>
      <c r="B898" s="22"/>
      <c r="C898" s="22"/>
    </row>
    <row r="899" ht="15.75" customHeight="1">
      <c r="A899" s="22"/>
      <c r="B899" s="22"/>
      <c r="C899" s="22"/>
    </row>
    <row r="900" ht="15.75" customHeight="1">
      <c r="A900" s="22"/>
      <c r="B900" s="22"/>
      <c r="C900" s="22"/>
    </row>
    <row r="901" ht="15.75" customHeight="1">
      <c r="A901" s="22"/>
      <c r="B901" s="22"/>
      <c r="C901" s="22"/>
    </row>
    <row r="902" ht="15.75" customHeight="1">
      <c r="A902" s="22"/>
      <c r="B902" s="22"/>
      <c r="C902" s="22"/>
    </row>
    <row r="903" ht="15.75" customHeight="1">
      <c r="A903" s="22"/>
      <c r="B903" s="22"/>
      <c r="C903" s="22"/>
    </row>
    <row r="904" ht="15.75" customHeight="1">
      <c r="A904" s="22"/>
      <c r="B904" s="22"/>
      <c r="C904" s="22"/>
    </row>
    <row r="905" ht="15.75" customHeight="1">
      <c r="A905" s="22"/>
      <c r="B905" s="22"/>
      <c r="C905" s="22"/>
    </row>
    <row r="906" ht="15.75" customHeight="1">
      <c r="A906" s="22"/>
      <c r="B906" s="22"/>
      <c r="C906" s="22"/>
    </row>
    <row r="907" ht="15.75" customHeight="1">
      <c r="A907" s="22"/>
      <c r="B907" s="22"/>
      <c r="C907" s="22"/>
    </row>
    <row r="908" ht="15.75" customHeight="1">
      <c r="A908" s="22"/>
      <c r="B908" s="22"/>
      <c r="C908" s="22"/>
    </row>
    <row r="909" ht="15.75" customHeight="1">
      <c r="A909" s="22"/>
      <c r="B909" s="22"/>
      <c r="C909" s="22"/>
    </row>
    <row r="910" ht="15.75" customHeight="1">
      <c r="A910" s="22"/>
      <c r="B910" s="22"/>
      <c r="C910" s="22"/>
    </row>
    <row r="911" ht="15.75" customHeight="1">
      <c r="A911" s="22"/>
      <c r="B911" s="22"/>
      <c r="C911" s="22"/>
    </row>
    <row r="912" ht="15.75" customHeight="1">
      <c r="A912" s="22"/>
      <c r="B912" s="22"/>
      <c r="C912" s="22"/>
    </row>
    <row r="913" ht="15.75" customHeight="1">
      <c r="A913" s="22"/>
      <c r="B913" s="22"/>
      <c r="C913" s="22"/>
    </row>
    <row r="914" ht="15.75" customHeight="1">
      <c r="A914" s="22"/>
      <c r="B914" s="22"/>
      <c r="C914" s="22"/>
    </row>
    <row r="915" ht="15.75" customHeight="1">
      <c r="A915" s="22"/>
      <c r="B915" s="22"/>
      <c r="C915" s="22"/>
    </row>
    <row r="916" ht="15.75" customHeight="1">
      <c r="A916" s="22"/>
      <c r="B916" s="22"/>
      <c r="C916" s="22"/>
    </row>
    <row r="917" ht="15.75" customHeight="1">
      <c r="A917" s="22"/>
      <c r="B917" s="22"/>
      <c r="C917" s="22"/>
    </row>
    <row r="918" ht="15.75" customHeight="1">
      <c r="A918" s="22"/>
      <c r="B918" s="22"/>
      <c r="C918" s="22"/>
    </row>
    <row r="919" ht="15.75" customHeight="1">
      <c r="A919" s="22"/>
      <c r="B919" s="22"/>
      <c r="C919" s="22"/>
    </row>
    <row r="920" ht="15.75" customHeight="1">
      <c r="A920" s="22"/>
      <c r="B920" s="22"/>
      <c r="C920" s="22"/>
    </row>
    <row r="921" ht="15.75" customHeight="1">
      <c r="A921" s="22"/>
      <c r="B921" s="22"/>
      <c r="C921" s="22"/>
    </row>
    <row r="922" ht="15.75" customHeight="1">
      <c r="A922" s="22"/>
      <c r="B922" s="22"/>
      <c r="C922" s="22"/>
    </row>
    <row r="923" ht="15.75" customHeight="1">
      <c r="A923" s="22"/>
      <c r="B923" s="22"/>
      <c r="C923" s="22"/>
    </row>
    <row r="924" ht="15.75" customHeight="1">
      <c r="A924" s="22"/>
      <c r="B924" s="22"/>
      <c r="C924" s="22"/>
    </row>
    <row r="925" ht="15.75" customHeight="1">
      <c r="A925" s="22"/>
      <c r="B925" s="22"/>
      <c r="C925" s="22"/>
    </row>
    <row r="926" ht="15.75" customHeight="1">
      <c r="A926" s="22"/>
      <c r="B926" s="22"/>
      <c r="C926" s="22"/>
    </row>
    <row r="927" ht="15.75" customHeight="1">
      <c r="A927" s="22"/>
      <c r="B927" s="22"/>
      <c r="C927" s="22"/>
    </row>
    <row r="928" ht="15.75" customHeight="1">
      <c r="A928" s="22"/>
      <c r="B928" s="22"/>
      <c r="C928" s="22"/>
    </row>
    <row r="929" ht="15.75" customHeight="1">
      <c r="A929" s="22"/>
      <c r="B929" s="22"/>
      <c r="C929" s="22"/>
    </row>
    <row r="930" ht="15.75" customHeight="1">
      <c r="A930" s="22"/>
      <c r="B930" s="22"/>
      <c r="C930" s="22"/>
    </row>
    <row r="931" ht="15.75" customHeight="1">
      <c r="A931" s="22"/>
      <c r="B931" s="22"/>
      <c r="C931" s="22"/>
    </row>
    <row r="932" ht="15.75" customHeight="1">
      <c r="A932" s="22"/>
      <c r="B932" s="22"/>
      <c r="C932" s="22"/>
    </row>
    <row r="933" ht="15.75" customHeight="1">
      <c r="A933" s="22"/>
      <c r="B933" s="22"/>
      <c r="C933" s="22"/>
    </row>
    <row r="934" ht="15.75" customHeight="1">
      <c r="A934" s="22"/>
      <c r="B934" s="22"/>
      <c r="C934" s="22"/>
    </row>
    <row r="935" ht="15.75" customHeight="1">
      <c r="A935" s="22"/>
      <c r="B935" s="22"/>
      <c r="C935" s="22"/>
    </row>
    <row r="936" ht="15.75" customHeight="1">
      <c r="A936" s="22"/>
      <c r="B936" s="22"/>
      <c r="C936" s="22"/>
    </row>
    <row r="937" ht="15.75" customHeight="1">
      <c r="A937" s="22"/>
      <c r="B937" s="22"/>
      <c r="C937" s="22"/>
    </row>
    <row r="938" ht="15.75" customHeight="1">
      <c r="A938" s="22"/>
      <c r="B938" s="22"/>
      <c r="C938" s="22"/>
    </row>
    <row r="939" ht="15.75" customHeight="1">
      <c r="A939" s="22"/>
      <c r="B939" s="22"/>
      <c r="C939" s="22"/>
    </row>
    <row r="940" ht="15.75" customHeight="1">
      <c r="A940" s="22"/>
      <c r="B940" s="22"/>
      <c r="C940" s="22"/>
    </row>
    <row r="941" ht="15.75" customHeight="1">
      <c r="A941" s="22"/>
      <c r="B941" s="22"/>
      <c r="C941" s="22"/>
    </row>
    <row r="942" ht="15.75" customHeight="1">
      <c r="A942" s="22"/>
      <c r="B942" s="22"/>
      <c r="C942" s="22"/>
    </row>
    <row r="943" ht="15.75" customHeight="1">
      <c r="A943" s="22"/>
      <c r="B943" s="22"/>
      <c r="C943" s="22"/>
    </row>
    <row r="944" ht="15.75" customHeight="1">
      <c r="A944" s="22"/>
      <c r="B944" s="22"/>
      <c r="C944" s="22"/>
    </row>
    <row r="945" ht="15.75" customHeight="1">
      <c r="A945" s="22"/>
      <c r="B945" s="22"/>
      <c r="C945" s="22"/>
    </row>
    <row r="946" ht="15.75" customHeight="1">
      <c r="A946" s="22"/>
      <c r="B946" s="22"/>
      <c r="C946" s="22"/>
    </row>
    <row r="947" ht="15.75" customHeight="1">
      <c r="A947" s="22"/>
      <c r="B947" s="22"/>
      <c r="C947" s="22"/>
    </row>
    <row r="948" ht="15.75" customHeight="1">
      <c r="A948" s="22"/>
      <c r="B948" s="22"/>
      <c r="C948" s="22"/>
    </row>
    <row r="949" ht="15.75" customHeight="1">
      <c r="A949" s="22"/>
      <c r="B949" s="22"/>
      <c r="C949" s="22"/>
    </row>
    <row r="950" ht="15.75" customHeight="1">
      <c r="A950" s="22"/>
      <c r="B950" s="22"/>
      <c r="C950" s="22"/>
    </row>
    <row r="951" ht="15.75" customHeight="1">
      <c r="A951" s="22"/>
      <c r="B951" s="22"/>
      <c r="C951" s="22"/>
    </row>
    <row r="952" ht="15.75" customHeight="1">
      <c r="A952" s="22"/>
      <c r="B952" s="22"/>
      <c r="C952" s="22"/>
    </row>
    <row r="953" ht="15.75" customHeight="1">
      <c r="A953" s="22"/>
      <c r="B953" s="22"/>
      <c r="C953" s="22"/>
    </row>
    <row r="954" ht="15.75" customHeight="1">
      <c r="A954" s="22"/>
      <c r="B954" s="22"/>
      <c r="C954" s="22"/>
    </row>
    <row r="955" ht="15.75" customHeight="1">
      <c r="A955" s="22"/>
      <c r="B955" s="22"/>
      <c r="C955" s="22"/>
    </row>
    <row r="956" ht="15.75" customHeight="1">
      <c r="A956" s="22"/>
      <c r="B956" s="22"/>
      <c r="C956" s="22"/>
    </row>
    <row r="957" ht="15.75" customHeight="1">
      <c r="A957" s="22"/>
      <c r="B957" s="22"/>
      <c r="C957" s="22"/>
    </row>
    <row r="958" ht="15.75" customHeight="1">
      <c r="A958" s="22"/>
      <c r="B958" s="22"/>
      <c r="C958" s="22"/>
    </row>
    <row r="959" ht="15.75" customHeight="1">
      <c r="A959" s="22"/>
      <c r="B959" s="22"/>
      <c r="C959" s="22"/>
    </row>
    <row r="960" ht="15.75" customHeight="1">
      <c r="A960" s="22"/>
      <c r="B960" s="22"/>
      <c r="C960" s="22"/>
    </row>
    <row r="961" ht="15.75" customHeight="1">
      <c r="A961" s="22"/>
      <c r="B961" s="22"/>
      <c r="C961" s="22"/>
    </row>
    <row r="962" ht="15.75" customHeight="1">
      <c r="A962" s="22"/>
      <c r="B962" s="22"/>
      <c r="C962" s="22"/>
    </row>
    <row r="963" ht="15.75" customHeight="1">
      <c r="A963" s="22"/>
      <c r="B963" s="22"/>
      <c r="C963" s="22"/>
    </row>
    <row r="964" ht="15.75" customHeight="1">
      <c r="A964" s="22"/>
      <c r="B964" s="22"/>
      <c r="C964" s="22"/>
    </row>
    <row r="965" ht="15.75" customHeight="1">
      <c r="A965" s="22"/>
      <c r="B965" s="22"/>
      <c r="C965" s="22"/>
    </row>
    <row r="966" ht="15.75" customHeight="1">
      <c r="A966" s="22"/>
      <c r="B966" s="22"/>
      <c r="C966" s="22"/>
    </row>
    <row r="967" ht="15.75" customHeight="1">
      <c r="A967" s="22"/>
      <c r="B967" s="22"/>
      <c r="C967" s="22"/>
    </row>
    <row r="968" ht="15.75" customHeight="1">
      <c r="A968" s="22"/>
      <c r="B968" s="22"/>
      <c r="C968" s="22"/>
    </row>
    <row r="969" ht="15.75" customHeight="1">
      <c r="A969" s="22"/>
      <c r="B969" s="22"/>
      <c r="C969" s="22"/>
    </row>
    <row r="970" ht="15.75" customHeight="1">
      <c r="A970" s="22"/>
      <c r="B970" s="22"/>
      <c r="C970" s="22"/>
    </row>
    <row r="971" ht="15.75" customHeight="1">
      <c r="A971" s="22"/>
      <c r="B971" s="22"/>
      <c r="C971" s="22"/>
    </row>
    <row r="972" ht="15.75" customHeight="1">
      <c r="A972" s="22"/>
      <c r="B972" s="22"/>
      <c r="C972" s="22"/>
    </row>
    <row r="973" ht="15.75" customHeight="1">
      <c r="A973" s="22"/>
      <c r="B973" s="22"/>
      <c r="C973" s="22"/>
    </row>
    <row r="974" ht="15.75" customHeight="1">
      <c r="A974" s="22"/>
      <c r="B974" s="22"/>
      <c r="C974" s="22"/>
    </row>
    <row r="975" ht="15.75" customHeight="1">
      <c r="A975" s="22"/>
      <c r="B975" s="22"/>
      <c r="C975" s="22"/>
    </row>
    <row r="976" ht="15.75" customHeight="1">
      <c r="A976" s="22"/>
      <c r="B976" s="22"/>
      <c r="C976" s="22"/>
    </row>
    <row r="977" ht="15.75" customHeight="1">
      <c r="A977" s="22"/>
      <c r="B977" s="22"/>
      <c r="C977" s="22"/>
    </row>
    <row r="978" ht="15.75" customHeight="1">
      <c r="A978" s="22"/>
      <c r="B978" s="22"/>
      <c r="C978" s="22"/>
    </row>
    <row r="979" ht="15.75" customHeight="1">
      <c r="A979" s="22"/>
      <c r="B979" s="22"/>
      <c r="C979" s="22"/>
    </row>
    <row r="980" ht="15.75" customHeight="1">
      <c r="A980" s="22"/>
      <c r="B980" s="22"/>
      <c r="C980" s="22"/>
    </row>
    <row r="981" ht="15.75" customHeight="1">
      <c r="A981" s="22"/>
      <c r="B981" s="22"/>
      <c r="C981" s="22"/>
    </row>
    <row r="982" ht="15.75" customHeight="1">
      <c r="A982" s="22"/>
      <c r="B982" s="22"/>
      <c r="C982" s="22"/>
    </row>
    <row r="983" ht="15.75" customHeight="1">
      <c r="A983" s="22"/>
      <c r="B983" s="22"/>
      <c r="C983" s="22"/>
    </row>
    <row r="984" ht="15.75" customHeight="1">
      <c r="A984" s="22"/>
      <c r="B984" s="22"/>
      <c r="C984" s="22"/>
    </row>
    <row r="985" ht="15.75" customHeight="1">
      <c r="A985" s="22"/>
      <c r="B985" s="22"/>
      <c r="C985" s="22"/>
    </row>
    <row r="986" ht="15.75" customHeight="1">
      <c r="A986" s="22"/>
      <c r="B986" s="22"/>
      <c r="C986" s="22"/>
    </row>
    <row r="987" ht="15.75" customHeight="1">
      <c r="A987" s="22"/>
      <c r="B987" s="22"/>
      <c r="C987" s="22"/>
    </row>
    <row r="988" ht="15.75" customHeight="1">
      <c r="A988" s="22"/>
      <c r="B988" s="22"/>
      <c r="C988" s="22"/>
    </row>
    <row r="989" ht="15.75" customHeight="1">
      <c r="A989" s="22"/>
      <c r="B989" s="22"/>
      <c r="C989" s="22"/>
    </row>
    <row r="990" ht="15.75" customHeight="1">
      <c r="A990" s="22"/>
      <c r="B990" s="22"/>
      <c r="C990" s="22"/>
    </row>
    <row r="991" ht="15.75" customHeight="1">
      <c r="A991" s="22"/>
      <c r="B991" s="22"/>
      <c r="C991" s="22"/>
    </row>
    <row r="992" ht="15.75" customHeight="1">
      <c r="A992" s="22"/>
      <c r="B992" s="22"/>
      <c r="C992" s="22"/>
    </row>
    <row r="993" ht="15.75" customHeight="1">
      <c r="A993" s="22"/>
      <c r="B993" s="22"/>
      <c r="C993" s="22"/>
    </row>
    <row r="994" ht="15.75" customHeight="1">
      <c r="A994" s="22"/>
      <c r="B994" s="22"/>
      <c r="C994" s="22"/>
    </row>
    <row r="995" ht="15.75" customHeight="1">
      <c r="A995" s="22"/>
      <c r="B995" s="22"/>
      <c r="C995" s="22"/>
    </row>
    <row r="996" ht="15.75" customHeight="1">
      <c r="A996" s="22"/>
      <c r="B996" s="22"/>
      <c r="C996" s="22"/>
    </row>
    <row r="997" ht="15.75" customHeight="1">
      <c r="A997" s="22"/>
      <c r="B997" s="22"/>
      <c r="C997" s="22"/>
    </row>
    <row r="998" ht="15.75" customHeight="1">
      <c r="A998" s="22"/>
      <c r="B998" s="22"/>
      <c r="C998" s="22"/>
    </row>
    <row r="999" ht="15.75" customHeight="1">
      <c r="A999" s="22"/>
      <c r="B999" s="22"/>
      <c r="C999" s="22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5"/>
    <col customWidth="1" min="2" max="2" width="19.25"/>
    <col customWidth="1" min="3" max="3" width="13.13"/>
    <col customWidth="1" min="6" max="6" width="14.13"/>
    <col customWidth="1" min="9" max="9" width="16.0"/>
    <col customWidth="1" min="10" max="10" width="17.25"/>
  </cols>
  <sheetData>
    <row r="1">
      <c r="A1" s="33" t="s">
        <v>184</v>
      </c>
      <c r="B1" s="33" t="s">
        <v>185</v>
      </c>
      <c r="C1" s="33" t="s">
        <v>186</v>
      </c>
      <c r="D1" s="33" t="s">
        <v>187</v>
      </c>
      <c r="E1" s="33" t="s">
        <v>188</v>
      </c>
      <c r="F1" s="33" t="s">
        <v>189</v>
      </c>
      <c r="G1" s="47" t="s">
        <v>190</v>
      </c>
      <c r="H1" s="33" t="s">
        <v>191</v>
      </c>
      <c r="I1" s="48" t="s">
        <v>192</v>
      </c>
      <c r="J1" s="48" t="s">
        <v>193</v>
      </c>
      <c r="K1" s="33" t="s">
        <v>194</v>
      </c>
    </row>
    <row r="2">
      <c r="A2" s="18" t="s">
        <v>195</v>
      </c>
      <c r="B2" s="18" t="s">
        <v>196</v>
      </c>
      <c r="C2" s="18" t="s">
        <v>197</v>
      </c>
      <c r="D2" s="18" t="s">
        <v>123</v>
      </c>
      <c r="E2" s="15">
        <v>78576.0</v>
      </c>
      <c r="F2" s="18">
        <v>8.0</v>
      </c>
      <c r="G2" s="49">
        <v>5.0</v>
      </c>
      <c r="H2" s="18" t="s">
        <v>198</v>
      </c>
      <c r="I2" s="50" t="s">
        <v>199</v>
      </c>
      <c r="J2" s="50" t="s">
        <v>200</v>
      </c>
      <c r="K2" s="17">
        <f t="shared" ref="K2:K17" si="1">(1 - 0.09) * 0.12 * E2</f>
        <v>8580.4992</v>
      </c>
    </row>
    <row r="3">
      <c r="A3" s="18" t="s">
        <v>201</v>
      </c>
      <c r="B3" s="18" t="s">
        <v>202</v>
      </c>
      <c r="C3" s="18" t="s">
        <v>203</v>
      </c>
      <c r="D3" s="18" t="s">
        <v>123</v>
      </c>
      <c r="E3" s="15">
        <v>69650.0</v>
      </c>
      <c r="F3" s="18">
        <v>8.0</v>
      </c>
      <c r="G3" s="49">
        <v>5.0</v>
      </c>
      <c r="H3" s="18" t="s">
        <v>198</v>
      </c>
      <c r="I3" s="50" t="s">
        <v>204</v>
      </c>
      <c r="J3" s="50" t="s">
        <v>205</v>
      </c>
      <c r="K3" s="17">
        <f t="shared" si="1"/>
        <v>7605.78</v>
      </c>
    </row>
    <row r="4">
      <c r="A4" s="18" t="s">
        <v>206</v>
      </c>
      <c r="B4" s="18" t="s">
        <v>207</v>
      </c>
      <c r="C4" s="18" t="s">
        <v>208</v>
      </c>
      <c r="D4" s="18" t="s">
        <v>123</v>
      </c>
      <c r="E4" s="15">
        <v>70122.0</v>
      </c>
      <c r="F4" s="18">
        <v>9.0</v>
      </c>
      <c r="G4" s="49">
        <v>5.0</v>
      </c>
      <c r="H4" s="18" t="s">
        <v>198</v>
      </c>
      <c r="I4" s="50" t="s">
        <v>209</v>
      </c>
      <c r="J4" s="50" t="s">
        <v>210</v>
      </c>
      <c r="K4" s="17">
        <f t="shared" si="1"/>
        <v>7657.3224</v>
      </c>
    </row>
    <row r="5">
      <c r="A5" s="18" t="s">
        <v>211</v>
      </c>
      <c r="B5" s="18" t="s">
        <v>212</v>
      </c>
      <c r="C5" s="18" t="s">
        <v>208</v>
      </c>
      <c r="D5" s="18" t="s">
        <v>123</v>
      </c>
      <c r="E5" s="15">
        <v>68311.0</v>
      </c>
      <c r="F5" s="18">
        <v>7.0</v>
      </c>
      <c r="G5" s="49">
        <v>5.0</v>
      </c>
      <c r="H5" s="18" t="s">
        <v>198</v>
      </c>
      <c r="I5" s="50" t="s">
        <v>213</v>
      </c>
      <c r="J5" s="50" t="s">
        <v>214</v>
      </c>
      <c r="K5" s="17">
        <f t="shared" si="1"/>
        <v>7459.5612</v>
      </c>
    </row>
    <row r="6">
      <c r="A6" s="18" t="s">
        <v>215</v>
      </c>
      <c r="B6" s="18" t="s">
        <v>216</v>
      </c>
      <c r="C6" s="18" t="s">
        <v>217</v>
      </c>
      <c r="D6" s="18" t="s">
        <v>123</v>
      </c>
      <c r="E6" s="15">
        <v>67382.0</v>
      </c>
      <c r="F6" s="18">
        <v>8.0</v>
      </c>
      <c r="G6" s="49">
        <v>5.0</v>
      </c>
      <c r="H6" s="18" t="s">
        <v>198</v>
      </c>
      <c r="I6" s="50" t="s">
        <v>218</v>
      </c>
      <c r="J6" s="50" t="s">
        <v>219</v>
      </c>
      <c r="K6" s="17">
        <f t="shared" si="1"/>
        <v>7358.1144</v>
      </c>
    </row>
    <row r="7">
      <c r="A7" s="18" t="s">
        <v>220</v>
      </c>
      <c r="B7" s="18" t="s">
        <v>221</v>
      </c>
      <c r="C7" s="18" t="s">
        <v>222</v>
      </c>
      <c r="D7" s="18" t="s">
        <v>123</v>
      </c>
      <c r="E7" s="15">
        <v>64091.0</v>
      </c>
      <c r="F7" s="18">
        <v>7.0</v>
      </c>
      <c r="G7" s="49">
        <v>4.0</v>
      </c>
      <c r="H7" s="18" t="s">
        <v>198</v>
      </c>
      <c r="I7" s="50" t="s">
        <v>223</v>
      </c>
      <c r="J7" s="50" t="s">
        <v>224</v>
      </c>
      <c r="K7" s="17">
        <f t="shared" si="1"/>
        <v>6998.7372</v>
      </c>
    </row>
    <row r="8">
      <c r="A8" s="18" t="s">
        <v>225</v>
      </c>
      <c r="B8" s="18" t="s">
        <v>226</v>
      </c>
      <c r="C8" s="18" t="s">
        <v>227</v>
      </c>
      <c r="D8" s="18" t="s">
        <v>123</v>
      </c>
      <c r="E8" s="15">
        <v>65827.0</v>
      </c>
      <c r="F8" s="18">
        <v>6.0</v>
      </c>
      <c r="G8" s="49">
        <v>5.0</v>
      </c>
      <c r="H8" s="18" t="s">
        <v>198</v>
      </c>
      <c r="I8" s="50" t="s">
        <v>228</v>
      </c>
      <c r="J8" s="50" t="s">
        <v>229</v>
      </c>
      <c r="K8" s="17">
        <f t="shared" si="1"/>
        <v>7188.3084</v>
      </c>
    </row>
    <row r="9">
      <c r="A9" s="18" t="s">
        <v>230</v>
      </c>
      <c r="B9" s="18" t="s">
        <v>231</v>
      </c>
      <c r="C9" s="18" t="s">
        <v>232</v>
      </c>
      <c r="D9" s="18" t="s">
        <v>123</v>
      </c>
      <c r="E9" s="15">
        <v>65123.0</v>
      </c>
      <c r="F9" s="18">
        <v>6.0</v>
      </c>
      <c r="G9" s="49">
        <v>4.0</v>
      </c>
      <c r="H9" s="18" t="s">
        <v>198</v>
      </c>
      <c r="I9" s="50" t="s">
        <v>233</v>
      </c>
      <c r="J9" s="50" t="s">
        <v>229</v>
      </c>
      <c r="K9" s="17">
        <f t="shared" si="1"/>
        <v>7111.4316</v>
      </c>
    </row>
    <row r="10">
      <c r="A10" s="18" t="s">
        <v>234</v>
      </c>
      <c r="B10" s="18" t="s">
        <v>235</v>
      </c>
      <c r="C10" s="18" t="s">
        <v>203</v>
      </c>
      <c r="D10" s="18" t="s">
        <v>123</v>
      </c>
      <c r="E10" s="15">
        <v>69391.0</v>
      </c>
      <c r="F10" s="18">
        <v>6.0</v>
      </c>
      <c r="G10" s="49">
        <v>5.0</v>
      </c>
      <c r="H10" s="18" t="s">
        <v>198</v>
      </c>
      <c r="I10" s="50" t="s">
        <v>236</v>
      </c>
      <c r="J10" s="50" t="s">
        <v>237</v>
      </c>
      <c r="K10" s="17">
        <f t="shared" si="1"/>
        <v>7577.4972</v>
      </c>
    </row>
    <row r="11">
      <c r="A11" s="18" t="s">
        <v>238</v>
      </c>
      <c r="B11" s="18" t="s">
        <v>239</v>
      </c>
      <c r="C11" s="18" t="s">
        <v>240</v>
      </c>
      <c r="D11" s="18" t="s">
        <v>123</v>
      </c>
      <c r="E11" s="15">
        <v>63815.0</v>
      </c>
      <c r="F11" s="18">
        <v>6.0</v>
      </c>
      <c r="G11" s="49">
        <v>5.0</v>
      </c>
      <c r="H11" s="18" t="s">
        <v>198</v>
      </c>
      <c r="I11" s="50" t="s">
        <v>199</v>
      </c>
      <c r="J11" s="50" t="s">
        <v>241</v>
      </c>
      <c r="K11" s="17">
        <f t="shared" si="1"/>
        <v>6968.598</v>
      </c>
    </row>
    <row r="12">
      <c r="A12" s="18" t="s">
        <v>242</v>
      </c>
      <c r="B12" s="18" t="s">
        <v>243</v>
      </c>
      <c r="C12" s="18" t="s">
        <v>244</v>
      </c>
      <c r="D12" s="18" t="s">
        <v>123</v>
      </c>
      <c r="E12" s="15">
        <v>67513.0</v>
      </c>
      <c r="F12" s="18">
        <v>6.0</v>
      </c>
      <c r="G12" s="49">
        <v>4.0</v>
      </c>
      <c r="H12" s="18" t="s">
        <v>198</v>
      </c>
      <c r="I12" s="50" t="s">
        <v>245</v>
      </c>
      <c r="J12" s="50" t="s">
        <v>246</v>
      </c>
      <c r="K12" s="17">
        <f t="shared" si="1"/>
        <v>7372.4196</v>
      </c>
    </row>
    <row r="13">
      <c r="A13" s="18" t="s">
        <v>247</v>
      </c>
      <c r="B13" s="18" t="s">
        <v>248</v>
      </c>
      <c r="C13" s="18" t="s">
        <v>249</v>
      </c>
      <c r="D13" s="18" t="s">
        <v>119</v>
      </c>
      <c r="E13" s="15">
        <v>44330.0</v>
      </c>
      <c r="F13" s="18">
        <v>4.0</v>
      </c>
      <c r="G13" s="49">
        <v>4.0</v>
      </c>
      <c r="H13" s="18" t="s">
        <v>198</v>
      </c>
      <c r="I13" s="50" t="s">
        <v>250</v>
      </c>
      <c r="J13" s="50" t="s">
        <v>251</v>
      </c>
      <c r="K13" s="17">
        <f t="shared" si="1"/>
        <v>4840.836</v>
      </c>
    </row>
    <row r="14">
      <c r="A14" s="18" t="s">
        <v>252</v>
      </c>
      <c r="B14" s="18" t="s">
        <v>253</v>
      </c>
      <c r="C14" s="18" t="s">
        <v>254</v>
      </c>
      <c r="D14" s="18" t="s">
        <v>119</v>
      </c>
      <c r="E14" s="15">
        <v>72766.0</v>
      </c>
      <c r="F14" s="18">
        <v>5.0</v>
      </c>
      <c r="G14" s="49">
        <v>3.0</v>
      </c>
      <c r="H14" s="18" t="s">
        <v>198</v>
      </c>
      <c r="I14" s="50" t="s">
        <v>255</v>
      </c>
      <c r="J14" s="50" t="s">
        <v>256</v>
      </c>
      <c r="K14" s="17">
        <f t="shared" si="1"/>
        <v>7946.0472</v>
      </c>
    </row>
    <row r="15">
      <c r="A15" s="18" t="s">
        <v>257</v>
      </c>
      <c r="B15" s="18" t="s">
        <v>258</v>
      </c>
      <c r="C15" s="18" t="s">
        <v>259</v>
      </c>
      <c r="D15" s="18" t="s">
        <v>119</v>
      </c>
      <c r="E15" s="15">
        <v>50113.0</v>
      </c>
      <c r="F15" s="18">
        <v>4.0</v>
      </c>
      <c r="G15" s="49">
        <v>3.0</v>
      </c>
      <c r="H15" s="18" t="s">
        <v>198</v>
      </c>
      <c r="I15" s="50" t="s">
        <v>260</v>
      </c>
      <c r="J15" s="50" t="s">
        <v>237</v>
      </c>
      <c r="K15" s="17">
        <f t="shared" si="1"/>
        <v>5472.3396</v>
      </c>
    </row>
    <row r="16">
      <c r="A16" s="18" t="s">
        <v>261</v>
      </c>
      <c r="B16" s="18" t="s">
        <v>262</v>
      </c>
      <c r="C16" s="18" t="s">
        <v>263</v>
      </c>
      <c r="D16" s="18" t="s">
        <v>112</v>
      </c>
      <c r="E16" s="15">
        <v>44315.0</v>
      </c>
      <c r="F16" s="18">
        <v>5.0</v>
      </c>
      <c r="G16" s="49">
        <v>5.0</v>
      </c>
      <c r="H16" s="18" t="s">
        <v>198</v>
      </c>
      <c r="I16" s="50" t="s">
        <v>264</v>
      </c>
      <c r="J16" s="50" t="s">
        <v>237</v>
      </c>
      <c r="K16" s="17">
        <f t="shared" si="1"/>
        <v>4839.198</v>
      </c>
    </row>
    <row r="17">
      <c r="A17" s="18" t="s">
        <v>265</v>
      </c>
      <c r="B17" s="18" t="s">
        <v>266</v>
      </c>
      <c r="C17" s="18" t="s">
        <v>267</v>
      </c>
      <c r="D17" s="18" t="s">
        <v>112</v>
      </c>
      <c r="E17" s="15">
        <v>48821.0</v>
      </c>
      <c r="F17" s="18">
        <v>7.0</v>
      </c>
      <c r="G17" s="49">
        <v>5.0</v>
      </c>
      <c r="H17" s="18" t="s">
        <v>198</v>
      </c>
      <c r="I17" s="50" t="s">
        <v>268</v>
      </c>
      <c r="J17" s="50" t="s">
        <v>214</v>
      </c>
      <c r="K17" s="17">
        <f t="shared" si="1"/>
        <v>5331.2532</v>
      </c>
    </row>
    <row r="18">
      <c r="G18" s="51"/>
      <c r="J18" s="52"/>
    </row>
    <row r="19">
      <c r="G19" s="51"/>
    </row>
    <row r="20">
      <c r="A20" s="53"/>
      <c r="B20" s="54"/>
      <c r="C20" s="54"/>
      <c r="D20" s="54"/>
      <c r="E20" s="54"/>
      <c r="F20" s="54"/>
      <c r="G20" s="55"/>
    </row>
    <row r="21">
      <c r="G21" s="51"/>
    </row>
    <row r="22">
      <c r="G22" s="51"/>
    </row>
    <row r="23">
      <c r="G23" s="51"/>
    </row>
    <row r="24">
      <c r="G24" s="51"/>
      <c r="I24" s="56" t="s">
        <v>269</v>
      </c>
    </row>
    <row r="25">
      <c r="G25" s="51"/>
      <c r="I25" s="56" t="s">
        <v>270</v>
      </c>
    </row>
    <row r="26">
      <c r="G26" s="51"/>
    </row>
  </sheetData>
  <hyperlinks>
    <hyperlink r:id="rId1" ref="I24"/>
    <hyperlink r:id="rId2" ref="I25"/>
  </hyperlink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5.38"/>
  </cols>
  <sheetData>
    <row r="1">
      <c r="A1" s="57" t="s">
        <v>271</v>
      </c>
      <c r="B1" s="57" t="s">
        <v>272</v>
      </c>
    </row>
    <row r="2">
      <c r="A2" s="18" t="s">
        <v>273</v>
      </c>
      <c r="B2" s="17">
        <f>AVERAGEIF(Stadiums!$I:$I,"*"&amp;A2&amp;"*",Stadiums!$K:$K)</f>
        <v>6404.3343</v>
      </c>
    </row>
    <row r="3">
      <c r="A3" s="18" t="s">
        <v>274</v>
      </c>
      <c r="B3" s="17">
        <f>AVERAGEIF(Stadiums!$I:$I,"*"&amp;A3&amp;"*",Stadiums!$K:$K)</f>
        <v>6493.032</v>
      </c>
    </row>
    <row r="4">
      <c r="A4" s="18" t="s">
        <v>275</v>
      </c>
      <c r="B4" s="17">
        <f>AVERAGEIF(Stadiums!$I:$I,"*"&amp;A4&amp;"*",Stadiums!$K:$K)</f>
        <v>7434.0357</v>
      </c>
    </row>
    <row r="5">
      <c r="A5" s="18" t="s">
        <v>133</v>
      </c>
      <c r="B5" s="17">
        <f>AVERAGEIF(Stadiums!$I:$I,"*"&amp;A5&amp;"*",Stadiums!$K:$K)</f>
        <v>6906.4905</v>
      </c>
    </row>
    <row r="6">
      <c r="A6" s="18" t="s">
        <v>276</v>
      </c>
      <c r="B6" s="17">
        <f>AVERAGEIF(Stadiums!$I:$I,"*"&amp;A6&amp;"*",Stadiums!$K:$K)</f>
        <v>6714.8718</v>
      </c>
    </row>
    <row r="7">
      <c r="A7" s="18" t="s">
        <v>277</v>
      </c>
      <c r="B7" s="17">
        <f>AVERAGEIF(Stadiums!$I:$I,"*"&amp;A7&amp;"*",Stadiums!$K:$K)</f>
        <v>6990.4107</v>
      </c>
    </row>
    <row r="8">
      <c r="A8" s="18" t="s">
        <v>278</v>
      </c>
      <c r="B8" s="17">
        <f>AVERAGEIF(Stadiums!$I:$I,"*"&amp;A8&amp;"*",Stadiums!$K:$K)</f>
        <v>6682.8216</v>
      </c>
    </row>
    <row r="9">
      <c r="A9" s="18" t="s">
        <v>279</v>
      </c>
      <c r="B9" s="17">
        <f>AVERAGEIF(Stadiums!$I:$I,"*"&amp;A9&amp;"*",Stadiums!$K:$K)</f>
        <v>6664.3122</v>
      </c>
    </row>
    <row r="10">
      <c r="A10" s="18" t="s">
        <v>280</v>
      </c>
      <c r="B10" s="17">
        <f>AVERAGEIF(Stadiums!$I:$I,"*"&amp;A10&amp;"*",Stadiums!$K:$K)</f>
        <v>7774.5486</v>
      </c>
    </row>
    <row r="11">
      <c r="A11" s="18" t="s">
        <v>281</v>
      </c>
      <c r="B11" s="17">
        <f>AVERAGEIF(Stadiums!$I:$I,"*"&amp;A11&amp;"*",Stadiums!$K:$K)</f>
        <v>7535.7464</v>
      </c>
    </row>
    <row r="12">
      <c r="A12" s="18" t="s">
        <v>282</v>
      </c>
      <c r="B12" s="17">
        <f>AVERAGEIF(Stadiums!$I:$I,"*"&amp;A12&amp;"*",Stadiums!$K:$K)</f>
        <v>6920.6592</v>
      </c>
    </row>
    <row r="13">
      <c r="A13" s="18" t="s">
        <v>283</v>
      </c>
      <c r="B13" s="17">
        <f>AVERAGEIF(Stadiums!$I:$I,"*"&amp;A13&amp;"*",Stadiums!$K:$K)</f>
        <v>7046.7852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5" max="5" width="21.38"/>
  </cols>
  <sheetData>
    <row r="1">
      <c r="A1" s="33" t="s">
        <v>284</v>
      </c>
      <c r="B1" s="33" t="s">
        <v>30</v>
      </c>
      <c r="C1" s="33" t="s">
        <v>26</v>
      </c>
      <c r="D1" s="33" t="s">
        <v>48</v>
      </c>
      <c r="E1" s="33" t="s">
        <v>58</v>
      </c>
    </row>
    <row r="2">
      <c r="A2" s="33" t="s">
        <v>273</v>
      </c>
      <c r="B2" s="58" t="s">
        <v>119</v>
      </c>
      <c r="C2" s="58" t="s">
        <v>72</v>
      </c>
      <c r="D2" s="58" t="s">
        <v>95</v>
      </c>
      <c r="E2" s="58" t="s">
        <v>285</v>
      </c>
    </row>
    <row r="3">
      <c r="A3" s="33" t="s">
        <v>274</v>
      </c>
      <c r="B3" s="58" t="s">
        <v>112</v>
      </c>
      <c r="C3" s="58" t="s">
        <v>55</v>
      </c>
      <c r="D3" s="58" t="s">
        <v>74</v>
      </c>
      <c r="E3" s="58" t="s">
        <v>286</v>
      </c>
    </row>
    <row r="4">
      <c r="A4" s="33" t="s">
        <v>275</v>
      </c>
      <c r="B4" s="58" t="s">
        <v>102</v>
      </c>
      <c r="C4" s="58" t="s">
        <v>91</v>
      </c>
      <c r="D4" s="58" t="s">
        <v>117</v>
      </c>
      <c r="E4" s="58" t="s">
        <v>51</v>
      </c>
    </row>
    <row r="5">
      <c r="A5" s="33" t="s">
        <v>133</v>
      </c>
      <c r="B5" s="58" t="s">
        <v>123</v>
      </c>
      <c r="C5" s="58" t="s">
        <v>108</v>
      </c>
      <c r="D5" s="58" t="s">
        <v>63</v>
      </c>
      <c r="E5" s="58" t="s">
        <v>287</v>
      </c>
    </row>
    <row r="6">
      <c r="A6" s="33" t="s">
        <v>276</v>
      </c>
      <c r="B6" s="58" t="s">
        <v>41</v>
      </c>
      <c r="C6" s="58" t="s">
        <v>115</v>
      </c>
      <c r="D6" s="58" t="s">
        <v>85</v>
      </c>
      <c r="E6" s="58" t="s">
        <v>106</v>
      </c>
    </row>
    <row r="7">
      <c r="A7" s="33" t="s">
        <v>277</v>
      </c>
      <c r="B7" s="58" t="s">
        <v>44</v>
      </c>
      <c r="C7" s="58" t="s">
        <v>68</v>
      </c>
      <c r="D7" s="58" t="s">
        <v>97</v>
      </c>
      <c r="E7" s="58" t="s">
        <v>288</v>
      </c>
    </row>
    <row r="8">
      <c r="A8" s="33" t="s">
        <v>278</v>
      </c>
      <c r="B8" s="58" t="s">
        <v>28</v>
      </c>
      <c r="C8" s="58" t="s">
        <v>87</v>
      </c>
      <c r="D8" s="58" t="s">
        <v>65</v>
      </c>
      <c r="E8" s="58" t="s">
        <v>125</v>
      </c>
    </row>
    <row r="9">
      <c r="A9" s="33" t="s">
        <v>279</v>
      </c>
      <c r="B9" s="58" t="s">
        <v>53</v>
      </c>
      <c r="C9" s="58" t="s">
        <v>110</v>
      </c>
      <c r="D9" s="58" t="s">
        <v>76</v>
      </c>
      <c r="E9" s="58" t="s">
        <v>83</v>
      </c>
    </row>
    <row r="10">
      <c r="A10" s="33" t="s">
        <v>289</v>
      </c>
      <c r="B10" s="58" t="s">
        <v>38</v>
      </c>
      <c r="C10" s="58" t="s">
        <v>93</v>
      </c>
      <c r="D10" s="58" t="s">
        <v>46</v>
      </c>
      <c r="E10" s="58" t="s">
        <v>290</v>
      </c>
    </row>
    <row r="11">
      <c r="A11" s="33" t="s">
        <v>291</v>
      </c>
      <c r="B11" s="58" t="s">
        <v>99</v>
      </c>
      <c r="C11" s="58" t="s">
        <v>80</v>
      </c>
      <c r="D11" s="58" t="s">
        <v>22</v>
      </c>
      <c r="E11" s="58" t="s">
        <v>70</v>
      </c>
    </row>
    <row r="12">
      <c r="A12" s="33" t="s">
        <v>292</v>
      </c>
      <c r="B12" s="58" t="s">
        <v>49</v>
      </c>
      <c r="C12" s="58" t="s">
        <v>104</v>
      </c>
      <c r="D12" s="58" t="s">
        <v>78</v>
      </c>
      <c r="E12" s="58" t="s">
        <v>293</v>
      </c>
    </row>
    <row r="13">
      <c r="A13" s="33" t="s">
        <v>283</v>
      </c>
      <c r="B13" s="58" t="s">
        <v>35</v>
      </c>
      <c r="C13" s="58" t="s">
        <v>32</v>
      </c>
      <c r="D13" s="58" t="s">
        <v>89</v>
      </c>
      <c r="E13" s="58" t="s">
        <v>121</v>
      </c>
    </row>
    <row r="14">
      <c r="A14" s="34"/>
    </row>
    <row r="15">
      <c r="A15" s="34"/>
    </row>
    <row r="16">
      <c r="A16" s="34"/>
    </row>
    <row r="17">
      <c r="A17" s="34"/>
    </row>
    <row r="18">
      <c r="A18" s="34"/>
    </row>
    <row r="19">
      <c r="A19" s="34"/>
    </row>
    <row r="20">
      <c r="A20" s="34"/>
    </row>
    <row r="21">
      <c r="A21" s="34"/>
    </row>
    <row r="22">
      <c r="A22" s="34"/>
    </row>
    <row r="23">
      <c r="A23" s="34"/>
    </row>
    <row r="24">
      <c r="A24" s="34"/>
    </row>
    <row r="25">
      <c r="A25" s="34"/>
    </row>
    <row r="26">
      <c r="A26" s="34"/>
    </row>
    <row r="27">
      <c r="A27" s="34"/>
    </row>
    <row r="28">
      <c r="A28" s="34"/>
    </row>
    <row r="29">
      <c r="A29" s="34"/>
    </row>
    <row r="30">
      <c r="A30" s="34"/>
    </row>
    <row r="31">
      <c r="A31" s="34"/>
    </row>
    <row r="32">
      <c r="A32" s="34"/>
    </row>
    <row r="33">
      <c r="A33" s="34"/>
    </row>
    <row r="34">
      <c r="A34" s="34"/>
    </row>
    <row r="35">
      <c r="A35" s="34"/>
    </row>
    <row r="36">
      <c r="A36" s="34"/>
    </row>
    <row r="37">
      <c r="A37" s="34"/>
    </row>
    <row r="38">
      <c r="A38" s="34"/>
    </row>
    <row r="39">
      <c r="A39" s="34"/>
    </row>
    <row r="40">
      <c r="A40" s="34"/>
    </row>
    <row r="41">
      <c r="A41" s="34"/>
    </row>
    <row r="42">
      <c r="A42" s="34"/>
    </row>
    <row r="43">
      <c r="A43" s="34"/>
    </row>
    <row r="44">
      <c r="A44" s="34"/>
    </row>
    <row r="45">
      <c r="A45" s="34"/>
    </row>
    <row r="46">
      <c r="A46" s="34"/>
    </row>
    <row r="47">
      <c r="A47" s="34"/>
    </row>
    <row r="48">
      <c r="A48" s="34"/>
    </row>
    <row r="49">
      <c r="A49" s="34"/>
    </row>
    <row r="50">
      <c r="A50" s="34"/>
    </row>
    <row r="51">
      <c r="A51" s="34"/>
    </row>
    <row r="52">
      <c r="A52" s="34"/>
    </row>
    <row r="53">
      <c r="A53" s="34"/>
    </row>
    <row r="54">
      <c r="A54" s="34"/>
    </row>
    <row r="55">
      <c r="A55" s="34"/>
    </row>
    <row r="56">
      <c r="A56" s="34"/>
    </row>
    <row r="57">
      <c r="A57" s="34"/>
    </row>
    <row r="58">
      <c r="A58" s="34"/>
    </row>
    <row r="59">
      <c r="A59" s="34"/>
    </row>
    <row r="60">
      <c r="A60" s="34"/>
    </row>
    <row r="61">
      <c r="A61" s="34"/>
    </row>
    <row r="62">
      <c r="A62" s="34"/>
    </row>
    <row r="63">
      <c r="A63" s="34"/>
    </row>
    <row r="64">
      <c r="A64" s="34"/>
    </row>
    <row r="65">
      <c r="A65" s="34"/>
    </row>
    <row r="66">
      <c r="A66" s="34"/>
    </row>
    <row r="67">
      <c r="A67" s="34"/>
    </row>
    <row r="68">
      <c r="A68" s="34"/>
    </row>
    <row r="69">
      <c r="A69" s="34"/>
    </row>
    <row r="70">
      <c r="A70" s="34"/>
    </row>
    <row r="71">
      <c r="A71" s="34"/>
    </row>
    <row r="72">
      <c r="A72" s="34"/>
    </row>
    <row r="73">
      <c r="A73" s="34"/>
    </row>
    <row r="74">
      <c r="A74" s="34"/>
    </row>
    <row r="75">
      <c r="A75" s="34"/>
    </row>
    <row r="76">
      <c r="A76" s="34"/>
    </row>
    <row r="77">
      <c r="A77" s="34"/>
    </row>
    <row r="78">
      <c r="A78" s="34"/>
    </row>
    <row r="79">
      <c r="A79" s="34"/>
    </row>
    <row r="80">
      <c r="A80" s="34"/>
    </row>
    <row r="81">
      <c r="A81" s="34"/>
    </row>
    <row r="82">
      <c r="A82" s="34"/>
    </row>
    <row r="83">
      <c r="A83" s="34"/>
    </row>
    <row r="84">
      <c r="A84" s="34"/>
    </row>
    <row r="85">
      <c r="A85" s="34"/>
    </row>
    <row r="86">
      <c r="A86" s="34"/>
    </row>
    <row r="87">
      <c r="A87" s="34"/>
    </row>
    <row r="88">
      <c r="A88" s="34"/>
    </row>
    <row r="89">
      <c r="A89" s="34"/>
    </row>
    <row r="90">
      <c r="A90" s="34"/>
    </row>
    <row r="91">
      <c r="A91" s="34"/>
    </row>
    <row r="92">
      <c r="A92" s="34"/>
    </row>
    <row r="93">
      <c r="A93" s="34"/>
    </row>
    <row r="94">
      <c r="A94" s="34"/>
    </row>
    <row r="95">
      <c r="A95" s="34"/>
    </row>
    <row r="96">
      <c r="A96" s="34"/>
    </row>
    <row r="97">
      <c r="A97" s="34"/>
    </row>
    <row r="98">
      <c r="A98" s="34"/>
    </row>
    <row r="99">
      <c r="A99" s="34"/>
    </row>
    <row r="100">
      <c r="A100" s="34"/>
    </row>
    <row r="101">
      <c r="A101" s="34"/>
    </row>
    <row r="102">
      <c r="A102" s="34"/>
    </row>
    <row r="103">
      <c r="A103" s="34"/>
    </row>
    <row r="104">
      <c r="A104" s="34"/>
    </row>
    <row r="105">
      <c r="A105" s="34"/>
    </row>
    <row r="106">
      <c r="A106" s="34"/>
    </row>
    <row r="107">
      <c r="A107" s="34"/>
    </row>
    <row r="108">
      <c r="A108" s="34"/>
    </row>
    <row r="109">
      <c r="A109" s="34"/>
    </row>
    <row r="110">
      <c r="A110" s="34"/>
    </row>
    <row r="111">
      <c r="A111" s="34"/>
    </row>
    <row r="112">
      <c r="A112" s="34"/>
    </row>
    <row r="113">
      <c r="A113" s="34"/>
    </row>
    <row r="114">
      <c r="A114" s="34"/>
    </row>
    <row r="115">
      <c r="A115" s="34"/>
    </row>
    <row r="116">
      <c r="A116" s="34"/>
    </row>
    <row r="117">
      <c r="A117" s="34"/>
    </row>
    <row r="118">
      <c r="A118" s="34"/>
    </row>
    <row r="119">
      <c r="A119" s="34"/>
    </row>
    <row r="120">
      <c r="A120" s="34"/>
    </row>
    <row r="121">
      <c r="A121" s="34"/>
    </row>
    <row r="122">
      <c r="A122" s="34"/>
    </row>
    <row r="123">
      <c r="A123" s="34"/>
    </row>
    <row r="124">
      <c r="A124" s="34"/>
    </row>
    <row r="125">
      <c r="A125" s="34"/>
    </row>
    <row r="126">
      <c r="A126" s="34"/>
    </row>
    <row r="127">
      <c r="A127" s="34"/>
    </row>
    <row r="128">
      <c r="A128" s="34"/>
    </row>
    <row r="129">
      <c r="A129" s="34"/>
    </row>
    <row r="130">
      <c r="A130" s="34"/>
    </row>
    <row r="131">
      <c r="A131" s="34"/>
    </row>
    <row r="132">
      <c r="A132" s="34"/>
    </row>
    <row r="133">
      <c r="A133" s="34"/>
    </row>
    <row r="134">
      <c r="A134" s="34"/>
    </row>
    <row r="135">
      <c r="A135" s="34"/>
    </row>
    <row r="136">
      <c r="A136" s="34"/>
    </row>
    <row r="137">
      <c r="A137" s="34"/>
    </row>
    <row r="138">
      <c r="A138" s="34"/>
    </row>
    <row r="139">
      <c r="A139" s="34"/>
    </row>
    <row r="140">
      <c r="A140" s="34"/>
    </row>
    <row r="141">
      <c r="A141" s="34"/>
    </row>
    <row r="142">
      <c r="A142" s="34"/>
    </row>
    <row r="143">
      <c r="A143" s="34"/>
    </row>
    <row r="144">
      <c r="A144" s="34"/>
    </row>
    <row r="145">
      <c r="A145" s="34"/>
    </row>
    <row r="146">
      <c r="A146" s="34"/>
    </row>
    <row r="147">
      <c r="A147" s="34"/>
    </row>
    <row r="148">
      <c r="A148" s="34"/>
    </row>
    <row r="149">
      <c r="A149" s="34"/>
    </row>
    <row r="150">
      <c r="A150" s="34"/>
    </row>
    <row r="151">
      <c r="A151" s="34"/>
    </row>
    <row r="152">
      <c r="A152" s="34"/>
    </row>
    <row r="153">
      <c r="A153" s="34"/>
    </row>
    <row r="154">
      <c r="A154" s="34"/>
    </row>
    <row r="155">
      <c r="A155" s="34"/>
    </row>
    <row r="156">
      <c r="A156" s="34"/>
    </row>
    <row r="157">
      <c r="A157" s="34"/>
    </row>
    <row r="158">
      <c r="A158" s="34"/>
    </row>
    <row r="159">
      <c r="A159" s="34"/>
    </row>
    <row r="160">
      <c r="A160" s="34"/>
    </row>
    <row r="161">
      <c r="A161" s="34"/>
    </row>
    <row r="162">
      <c r="A162" s="34"/>
    </row>
    <row r="163">
      <c r="A163" s="34"/>
    </row>
    <row r="164">
      <c r="A164" s="34"/>
    </row>
    <row r="165">
      <c r="A165" s="34"/>
    </row>
    <row r="166">
      <c r="A166" s="34"/>
    </row>
    <row r="167">
      <c r="A167" s="34"/>
    </row>
    <row r="168">
      <c r="A168" s="34"/>
    </row>
    <row r="169">
      <c r="A169" s="34"/>
    </row>
    <row r="170">
      <c r="A170" s="34"/>
    </row>
    <row r="171">
      <c r="A171" s="34"/>
    </row>
    <row r="172">
      <c r="A172" s="34"/>
    </row>
    <row r="173">
      <c r="A173" s="34"/>
    </row>
    <row r="174">
      <c r="A174" s="34"/>
    </row>
    <row r="175">
      <c r="A175" s="34"/>
    </row>
    <row r="176">
      <c r="A176" s="34"/>
    </row>
    <row r="177">
      <c r="A177" s="34"/>
    </row>
    <row r="178">
      <c r="A178" s="34"/>
    </row>
    <row r="179">
      <c r="A179" s="34"/>
    </row>
    <row r="180">
      <c r="A180" s="34"/>
    </row>
    <row r="181">
      <c r="A181" s="34"/>
    </row>
    <row r="182">
      <c r="A182" s="34"/>
    </row>
    <row r="183">
      <c r="A183" s="34"/>
    </row>
    <row r="184">
      <c r="A184" s="34"/>
    </row>
    <row r="185">
      <c r="A185" s="34"/>
    </row>
    <row r="186">
      <c r="A186" s="34"/>
    </row>
    <row r="187">
      <c r="A187" s="34"/>
    </row>
    <row r="188">
      <c r="A188" s="34"/>
    </row>
    <row r="189">
      <c r="A189" s="34"/>
    </row>
    <row r="190">
      <c r="A190" s="34"/>
    </row>
    <row r="191">
      <c r="A191" s="34"/>
    </row>
    <row r="192">
      <c r="A192" s="34"/>
    </row>
    <row r="193">
      <c r="A193" s="34"/>
    </row>
    <row r="194">
      <c r="A194" s="34"/>
    </row>
    <row r="195">
      <c r="A195" s="34"/>
    </row>
    <row r="196">
      <c r="A196" s="34"/>
    </row>
    <row r="197">
      <c r="A197" s="34"/>
    </row>
    <row r="198">
      <c r="A198" s="34"/>
    </row>
    <row r="199">
      <c r="A199" s="34"/>
    </row>
    <row r="200">
      <c r="A200" s="34"/>
    </row>
    <row r="201">
      <c r="A201" s="34"/>
    </row>
    <row r="202">
      <c r="A202" s="34"/>
    </row>
    <row r="203">
      <c r="A203" s="34"/>
    </row>
    <row r="204">
      <c r="A204" s="34"/>
    </row>
    <row r="205">
      <c r="A205" s="34"/>
    </row>
    <row r="206">
      <c r="A206" s="34"/>
    </row>
    <row r="207">
      <c r="A207" s="34"/>
    </row>
    <row r="208">
      <c r="A208" s="34"/>
    </row>
    <row r="209">
      <c r="A209" s="34"/>
    </row>
    <row r="210">
      <c r="A210" s="34"/>
    </row>
    <row r="211">
      <c r="A211" s="34"/>
    </row>
    <row r="212">
      <c r="A212" s="34"/>
    </row>
    <row r="213">
      <c r="A213" s="34"/>
    </row>
    <row r="214">
      <c r="A214" s="34"/>
    </row>
    <row r="215">
      <c r="A215" s="34"/>
    </row>
    <row r="216">
      <c r="A216" s="34"/>
    </row>
    <row r="217">
      <c r="A217" s="34"/>
    </row>
    <row r="218">
      <c r="A218" s="34"/>
    </row>
    <row r="219">
      <c r="A219" s="34"/>
    </row>
    <row r="220">
      <c r="A220" s="34"/>
    </row>
    <row r="221">
      <c r="A221" s="34"/>
    </row>
    <row r="222">
      <c r="A222" s="34"/>
    </row>
    <row r="223">
      <c r="A223" s="34"/>
    </row>
    <row r="224">
      <c r="A224" s="34"/>
    </row>
    <row r="225">
      <c r="A225" s="34"/>
    </row>
    <row r="226">
      <c r="A226" s="34"/>
    </row>
    <row r="227">
      <c r="A227" s="34"/>
    </row>
    <row r="228">
      <c r="A228" s="34"/>
    </row>
    <row r="229">
      <c r="A229" s="34"/>
    </row>
    <row r="230">
      <c r="A230" s="34"/>
    </row>
    <row r="231">
      <c r="A231" s="34"/>
    </row>
    <row r="232">
      <c r="A232" s="34"/>
    </row>
    <row r="233">
      <c r="A233" s="34"/>
    </row>
    <row r="234">
      <c r="A234" s="34"/>
    </row>
    <row r="235">
      <c r="A235" s="34"/>
    </row>
    <row r="236">
      <c r="A236" s="34"/>
    </row>
    <row r="237">
      <c r="A237" s="34"/>
    </row>
    <row r="238">
      <c r="A238" s="34"/>
    </row>
    <row r="239">
      <c r="A239" s="34"/>
    </row>
    <row r="240">
      <c r="A240" s="34"/>
    </row>
    <row r="241">
      <c r="A241" s="34"/>
    </row>
    <row r="242">
      <c r="A242" s="34"/>
    </row>
    <row r="243">
      <c r="A243" s="34"/>
    </row>
    <row r="244">
      <c r="A244" s="34"/>
    </row>
    <row r="245">
      <c r="A245" s="34"/>
    </row>
    <row r="246">
      <c r="A246" s="34"/>
    </row>
    <row r="247">
      <c r="A247" s="34"/>
    </row>
    <row r="248">
      <c r="A248" s="34"/>
    </row>
    <row r="249">
      <c r="A249" s="34"/>
    </row>
    <row r="250">
      <c r="A250" s="34"/>
    </row>
    <row r="251">
      <c r="A251" s="34"/>
    </row>
    <row r="252">
      <c r="A252" s="34"/>
    </row>
    <row r="253">
      <c r="A253" s="34"/>
    </row>
    <row r="254">
      <c r="A254" s="34"/>
    </row>
    <row r="255">
      <c r="A255" s="34"/>
    </row>
    <row r="256">
      <c r="A256" s="34"/>
    </row>
    <row r="257">
      <c r="A257" s="34"/>
    </row>
    <row r="258">
      <c r="A258" s="34"/>
    </row>
    <row r="259">
      <c r="A259" s="34"/>
    </row>
    <row r="260">
      <c r="A260" s="34"/>
    </row>
    <row r="261">
      <c r="A261" s="34"/>
    </row>
    <row r="262">
      <c r="A262" s="34"/>
    </row>
    <row r="263">
      <c r="A263" s="34"/>
    </row>
    <row r="264">
      <c r="A264" s="34"/>
    </row>
    <row r="265">
      <c r="A265" s="34"/>
    </row>
    <row r="266">
      <c r="A266" s="34"/>
    </row>
    <row r="267">
      <c r="A267" s="34"/>
    </row>
    <row r="268">
      <c r="A268" s="34"/>
    </row>
    <row r="269">
      <c r="A269" s="34"/>
    </row>
    <row r="270">
      <c r="A270" s="34"/>
    </row>
    <row r="271">
      <c r="A271" s="34"/>
    </row>
    <row r="272">
      <c r="A272" s="34"/>
    </row>
    <row r="273">
      <c r="A273" s="34"/>
    </row>
    <row r="274">
      <c r="A274" s="34"/>
    </row>
    <row r="275">
      <c r="A275" s="34"/>
    </row>
    <row r="276">
      <c r="A276" s="34"/>
    </row>
    <row r="277">
      <c r="A277" s="34"/>
    </row>
    <row r="278">
      <c r="A278" s="34"/>
    </row>
    <row r="279">
      <c r="A279" s="34"/>
    </row>
    <row r="280">
      <c r="A280" s="34"/>
    </row>
    <row r="281">
      <c r="A281" s="34"/>
    </row>
    <row r="282">
      <c r="A282" s="34"/>
    </row>
    <row r="283">
      <c r="A283" s="34"/>
    </row>
    <row r="284">
      <c r="A284" s="34"/>
    </row>
    <row r="285">
      <c r="A285" s="34"/>
    </row>
    <row r="286">
      <c r="A286" s="34"/>
    </row>
    <row r="287">
      <c r="A287" s="34"/>
    </row>
    <row r="288">
      <c r="A288" s="34"/>
    </row>
    <row r="289">
      <c r="A289" s="34"/>
    </row>
    <row r="290">
      <c r="A290" s="34"/>
    </row>
    <row r="291">
      <c r="A291" s="34"/>
    </row>
    <row r="292">
      <c r="A292" s="34"/>
    </row>
    <row r="293">
      <c r="A293" s="34"/>
    </row>
    <row r="294">
      <c r="A294" s="34"/>
    </row>
    <row r="295">
      <c r="A295" s="34"/>
    </row>
    <row r="296">
      <c r="A296" s="34"/>
    </row>
    <row r="297">
      <c r="A297" s="34"/>
    </row>
    <row r="298">
      <c r="A298" s="34"/>
    </row>
    <row r="299">
      <c r="A299" s="34"/>
    </row>
    <row r="300">
      <c r="A300" s="34"/>
    </row>
    <row r="301">
      <c r="A301" s="34"/>
    </row>
    <row r="302">
      <c r="A302" s="34"/>
    </row>
    <row r="303">
      <c r="A303" s="34"/>
    </row>
    <row r="304">
      <c r="A304" s="34"/>
    </row>
    <row r="305">
      <c r="A305" s="34"/>
    </row>
    <row r="306">
      <c r="A306" s="34"/>
    </row>
    <row r="307">
      <c r="A307" s="34"/>
    </row>
    <row r="308">
      <c r="A308" s="34"/>
    </row>
    <row r="309">
      <c r="A309" s="34"/>
    </row>
    <row r="310">
      <c r="A310" s="34"/>
    </row>
    <row r="311">
      <c r="A311" s="34"/>
    </row>
    <row r="312">
      <c r="A312" s="34"/>
    </row>
    <row r="313">
      <c r="A313" s="34"/>
    </row>
    <row r="314">
      <c r="A314" s="34"/>
    </row>
    <row r="315">
      <c r="A315" s="34"/>
    </row>
    <row r="316">
      <c r="A316" s="34"/>
    </row>
    <row r="317">
      <c r="A317" s="34"/>
    </row>
    <row r="318">
      <c r="A318" s="34"/>
    </row>
    <row r="319">
      <c r="A319" s="34"/>
    </row>
    <row r="320">
      <c r="A320" s="34"/>
    </row>
    <row r="321">
      <c r="A321" s="34"/>
    </row>
    <row r="322">
      <c r="A322" s="34"/>
    </row>
    <row r="323">
      <c r="A323" s="34"/>
    </row>
    <row r="324">
      <c r="A324" s="34"/>
    </row>
    <row r="325">
      <c r="A325" s="34"/>
    </row>
    <row r="326">
      <c r="A326" s="34"/>
    </row>
    <row r="327">
      <c r="A327" s="34"/>
    </row>
    <row r="328">
      <c r="A328" s="34"/>
    </row>
    <row r="329">
      <c r="A329" s="34"/>
    </row>
    <row r="330">
      <c r="A330" s="34"/>
    </row>
    <row r="331">
      <c r="A331" s="34"/>
    </row>
    <row r="332">
      <c r="A332" s="34"/>
    </row>
    <row r="333">
      <c r="A333" s="34"/>
    </row>
    <row r="334">
      <c r="A334" s="34"/>
    </row>
    <row r="335">
      <c r="A335" s="34"/>
    </row>
    <row r="336">
      <c r="A336" s="34"/>
    </row>
    <row r="337">
      <c r="A337" s="34"/>
    </row>
    <row r="338">
      <c r="A338" s="34"/>
    </row>
    <row r="339">
      <c r="A339" s="34"/>
    </row>
    <row r="340">
      <c r="A340" s="34"/>
    </row>
    <row r="341">
      <c r="A341" s="34"/>
    </row>
    <row r="342">
      <c r="A342" s="34"/>
    </row>
    <row r="343">
      <c r="A343" s="34"/>
    </row>
    <row r="344">
      <c r="A344" s="34"/>
    </row>
    <row r="345">
      <c r="A345" s="34"/>
    </row>
    <row r="346">
      <c r="A346" s="34"/>
    </row>
    <row r="347">
      <c r="A347" s="34"/>
    </row>
    <row r="348">
      <c r="A348" s="34"/>
    </row>
    <row r="349">
      <c r="A349" s="34"/>
    </row>
    <row r="350">
      <c r="A350" s="34"/>
    </row>
    <row r="351">
      <c r="A351" s="34"/>
    </row>
    <row r="352">
      <c r="A352" s="34"/>
    </row>
    <row r="353">
      <c r="A353" s="34"/>
    </row>
    <row r="354">
      <c r="A354" s="34"/>
    </row>
    <row r="355">
      <c r="A355" s="34"/>
    </row>
    <row r="356">
      <c r="A356" s="34"/>
    </row>
    <row r="357">
      <c r="A357" s="34"/>
    </row>
    <row r="358">
      <c r="A358" s="34"/>
    </row>
    <row r="359">
      <c r="A359" s="34"/>
    </row>
    <row r="360">
      <c r="A360" s="34"/>
    </row>
    <row r="361">
      <c r="A361" s="34"/>
    </row>
    <row r="362">
      <c r="A362" s="34"/>
    </row>
    <row r="363">
      <c r="A363" s="34"/>
    </row>
    <row r="364">
      <c r="A364" s="34"/>
    </row>
    <row r="365">
      <c r="A365" s="34"/>
    </row>
    <row r="366">
      <c r="A366" s="34"/>
    </row>
    <row r="367">
      <c r="A367" s="34"/>
    </row>
    <row r="368">
      <c r="A368" s="34"/>
    </row>
    <row r="369">
      <c r="A369" s="34"/>
    </row>
    <row r="370">
      <c r="A370" s="34"/>
    </row>
    <row r="371">
      <c r="A371" s="34"/>
    </row>
    <row r="372">
      <c r="A372" s="34"/>
    </row>
    <row r="373">
      <c r="A373" s="34"/>
    </row>
    <row r="374">
      <c r="A374" s="34"/>
    </row>
    <row r="375">
      <c r="A375" s="34"/>
    </row>
    <row r="376">
      <c r="A376" s="34"/>
    </row>
    <row r="377">
      <c r="A377" s="34"/>
    </row>
    <row r="378">
      <c r="A378" s="34"/>
    </row>
    <row r="379">
      <c r="A379" s="34"/>
    </row>
    <row r="380">
      <c r="A380" s="34"/>
    </row>
    <row r="381">
      <c r="A381" s="34"/>
    </row>
    <row r="382">
      <c r="A382" s="34"/>
    </row>
    <row r="383">
      <c r="A383" s="34"/>
    </row>
    <row r="384">
      <c r="A384" s="34"/>
    </row>
    <row r="385">
      <c r="A385" s="34"/>
    </row>
    <row r="386">
      <c r="A386" s="34"/>
    </row>
    <row r="387">
      <c r="A387" s="34"/>
    </row>
    <row r="388">
      <c r="A388" s="34"/>
    </row>
    <row r="389">
      <c r="A389" s="34"/>
    </row>
    <row r="390">
      <c r="A390" s="34"/>
    </row>
    <row r="391">
      <c r="A391" s="34"/>
    </row>
    <row r="392">
      <c r="A392" s="34"/>
    </row>
    <row r="393">
      <c r="A393" s="34"/>
    </row>
    <row r="394">
      <c r="A394" s="34"/>
    </row>
    <row r="395">
      <c r="A395" s="34"/>
    </row>
    <row r="396">
      <c r="A396" s="34"/>
    </row>
    <row r="397">
      <c r="A397" s="34"/>
    </row>
    <row r="398">
      <c r="A398" s="34"/>
    </row>
    <row r="399">
      <c r="A399" s="34"/>
    </row>
    <row r="400">
      <c r="A400" s="34"/>
    </row>
    <row r="401">
      <c r="A401" s="34"/>
    </row>
    <row r="402">
      <c r="A402" s="34"/>
    </row>
    <row r="403">
      <c r="A403" s="34"/>
    </row>
    <row r="404">
      <c r="A404" s="34"/>
    </row>
    <row r="405">
      <c r="A405" s="34"/>
    </row>
    <row r="406">
      <c r="A406" s="34"/>
    </row>
    <row r="407">
      <c r="A407" s="34"/>
    </row>
    <row r="408">
      <c r="A408" s="34"/>
    </row>
    <row r="409">
      <c r="A409" s="34"/>
    </row>
    <row r="410">
      <c r="A410" s="34"/>
    </row>
    <row r="411">
      <c r="A411" s="34"/>
    </row>
    <row r="412">
      <c r="A412" s="34"/>
    </row>
    <row r="413">
      <c r="A413" s="34"/>
    </row>
    <row r="414">
      <c r="A414" s="34"/>
    </row>
    <row r="415">
      <c r="A415" s="34"/>
    </row>
    <row r="416">
      <c r="A416" s="34"/>
    </row>
    <row r="417">
      <c r="A417" s="34"/>
    </row>
    <row r="418">
      <c r="A418" s="34"/>
    </row>
    <row r="419">
      <c r="A419" s="34"/>
    </row>
    <row r="420">
      <c r="A420" s="34"/>
    </row>
    <row r="421">
      <c r="A421" s="34"/>
    </row>
    <row r="422">
      <c r="A422" s="34"/>
    </row>
    <row r="423">
      <c r="A423" s="34"/>
    </row>
    <row r="424">
      <c r="A424" s="34"/>
    </row>
    <row r="425">
      <c r="A425" s="34"/>
    </row>
    <row r="426">
      <c r="A426" s="34"/>
    </row>
    <row r="427">
      <c r="A427" s="34"/>
    </row>
    <row r="428">
      <c r="A428" s="34"/>
    </row>
    <row r="429">
      <c r="A429" s="34"/>
    </row>
    <row r="430">
      <c r="A430" s="34"/>
    </row>
    <row r="431">
      <c r="A431" s="34"/>
    </row>
    <row r="432">
      <c r="A432" s="34"/>
    </row>
    <row r="433">
      <c r="A433" s="34"/>
    </row>
    <row r="434">
      <c r="A434" s="34"/>
    </row>
    <row r="435">
      <c r="A435" s="34"/>
    </row>
    <row r="436">
      <c r="A436" s="34"/>
    </row>
    <row r="437">
      <c r="A437" s="34"/>
    </row>
    <row r="438">
      <c r="A438" s="34"/>
    </row>
    <row r="439">
      <c r="A439" s="34"/>
    </row>
    <row r="440">
      <c r="A440" s="34"/>
    </row>
    <row r="441">
      <c r="A441" s="34"/>
    </row>
    <row r="442">
      <c r="A442" s="34"/>
    </row>
    <row r="443">
      <c r="A443" s="34"/>
    </row>
    <row r="444">
      <c r="A444" s="34"/>
    </row>
    <row r="445">
      <c r="A445" s="34"/>
    </row>
    <row r="446">
      <c r="A446" s="34"/>
    </row>
    <row r="447">
      <c r="A447" s="34"/>
    </row>
    <row r="448">
      <c r="A448" s="34"/>
    </row>
    <row r="449">
      <c r="A449" s="34"/>
    </row>
    <row r="450">
      <c r="A450" s="34"/>
    </row>
    <row r="451">
      <c r="A451" s="34"/>
    </row>
    <row r="452">
      <c r="A452" s="34"/>
    </row>
    <row r="453">
      <c r="A453" s="34"/>
    </row>
    <row r="454">
      <c r="A454" s="34"/>
    </row>
    <row r="455">
      <c r="A455" s="34"/>
    </row>
    <row r="456">
      <c r="A456" s="34"/>
    </row>
    <row r="457">
      <c r="A457" s="34"/>
    </row>
    <row r="458">
      <c r="A458" s="34"/>
    </row>
    <row r="459">
      <c r="A459" s="34"/>
    </row>
    <row r="460">
      <c r="A460" s="34"/>
    </row>
    <row r="461">
      <c r="A461" s="34"/>
    </row>
    <row r="462">
      <c r="A462" s="34"/>
    </row>
    <row r="463">
      <c r="A463" s="34"/>
    </row>
    <row r="464">
      <c r="A464" s="34"/>
    </row>
    <row r="465">
      <c r="A465" s="34"/>
    </row>
    <row r="466">
      <c r="A466" s="34"/>
    </row>
    <row r="467">
      <c r="A467" s="34"/>
    </row>
    <row r="468">
      <c r="A468" s="34"/>
    </row>
    <row r="469">
      <c r="A469" s="34"/>
    </row>
    <row r="470">
      <c r="A470" s="34"/>
    </row>
    <row r="471">
      <c r="A471" s="34"/>
    </row>
    <row r="472">
      <c r="A472" s="34"/>
    </row>
    <row r="473">
      <c r="A473" s="34"/>
    </row>
    <row r="474">
      <c r="A474" s="34"/>
    </row>
    <row r="475">
      <c r="A475" s="34"/>
    </row>
    <row r="476">
      <c r="A476" s="34"/>
    </row>
    <row r="477">
      <c r="A477" s="34"/>
    </row>
    <row r="478">
      <c r="A478" s="34"/>
    </row>
    <row r="479">
      <c r="A479" s="34"/>
    </row>
    <row r="480">
      <c r="A480" s="34"/>
    </row>
    <row r="481">
      <c r="A481" s="34"/>
    </row>
    <row r="482">
      <c r="A482" s="34"/>
    </row>
    <row r="483">
      <c r="A483" s="34"/>
    </row>
    <row r="484">
      <c r="A484" s="34"/>
    </row>
    <row r="485">
      <c r="A485" s="34"/>
    </row>
    <row r="486">
      <c r="A486" s="34"/>
    </row>
    <row r="487">
      <c r="A487" s="34"/>
    </row>
    <row r="488">
      <c r="A488" s="34"/>
    </row>
    <row r="489">
      <c r="A489" s="34"/>
    </row>
    <row r="490">
      <c r="A490" s="34"/>
    </row>
    <row r="491">
      <c r="A491" s="34"/>
    </row>
    <row r="492">
      <c r="A492" s="34"/>
    </row>
    <row r="493">
      <c r="A493" s="34"/>
    </row>
    <row r="494">
      <c r="A494" s="34"/>
    </row>
    <row r="495">
      <c r="A495" s="34"/>
    </row>
    <row r="496">
      <c r="A496" s="34"/>
    </row>
    <row r="497">
      <c r="A497" s="34"/>
    </row>
    <row r="498">
      <c r="A498" s="34"/>
    </row>
    <row r="499">
      <c r="A499" s="34"/>
    </row>
    <row r="500">
      <c r="A500" s="34"/>
    </row>
    <row r="501">
      <c r="A501" s="34"/>
    </row>
    <row r="502">
      <c r="A502" s="34"/>
    </row>
    <row r="503">
      <c r="A503" s="34"/>
    </row>
    <row r="504">
      <c r="A504" s="34"/>
    </row>
    <row r="505">
      <c r="A505" s="34"/>
    </row>
    <row r="506">
      <c r="A506" s="34"/>
    </row>
    <row r="507">
      <c r="A507" s="34"/>
    </row>
    <row r="508">
      <c r="A508" s="34"/>
    </row>
    <row r="509">
      <c r="A509" s="34"/>
    </row>
    <row r="510">
      <c r="A510" s="34"/>
    </row>
    <row r="511">
      <c r="A511" s="34"/>
    </row>
    <row r="512">
      <c r="A512" s="34"/>
    </row>
    <row r="513">
      <c r="A513" s="34"/>
    </row>
    <row r="514">
      <c r="A514" s="34"/>
    </row>
    <row r="515">
      <c r="A515" s="34"/>
    </row>
    <row r="516">
      <c r="A516" s="34"/>
    </row>
    <row r="517">
      <c r="A517" s="34"/>
    </row>
    <row r="518">
      <c r="A518" s="34"/>
    </row>
    <row r="519">
      <c r="A519" s="34"/>
    </row>
    <row r="520">
      <c r="A520" s="34"/>
    </row>
    <row r="521">
      <c r="A521" s="34"/>
    </row>
    <row r="522">
      <c r="A522" s="34"/>
    </row>
    <row r="523">
      <c r="A523" s="34"/>
    </row>
    <row r="524">
      <c r="A524" s="34"/>
    </row>
    <row r="525">
      <c r="A525" s="34"/>
    </row>
    <row r="526">
      <c r="A526" s="34"/>
    </row>
    <row r="527">
      <c r="A527" s="34"/>
    </row>
    <row r="528">
      <c r="A528" s="34"/>
    </row>
    <row r="529">
      <c r="A529" s="34"/>
    </row>
    <row r="530">
      <c r="A530" s="34"/>
    </row>
    <row r="531">
      <c r="A531" s="34"/>
    </row>
    <row r="532">
      <c r="A532" s="34"/>
    </row>
    <row r="533">
      <c r="A533" s="34"/>
    </row>
    <row r="534">
      <c r="A534" s="34"/>
    </row>
    <row r="535">
      <c r="A535" s="34"/>
    </row>
    <row r="536">
      <c r="A536" s="34"/>
    </row>
    <row r="537">
      <c r="A537" s="34"/>
    </row>
    <row r="538">
      <c r="A538" s="34"/>
    </row>
    <row r="539">
      <c r="A539" s="34"/>
    </row>
    <row r="540">
      <c r="A540" s="34"/>
    </row>
    <row r="541">
      <c r="A541" s="34"/>
    </row>
    <row r="542">
      <c r="A542" s="34"/>
    </row>
    <row r="543">
      <c r="A543" s="34"/>
    </row>
    <row r="544">
      <c r="A544" s="34"/>
    </row>
    <row r="545">
      <c r="A545" s="34"/>
    </row>
    <row r="546">
      <c r="A546" s="34"/>
    </row>
    <row r="547">
      <c r="A547" s="34"/>
    </row>
    <row r="548">
      <c r="A548" s="34"/>
    </row>
    <row r="549">
      <c r="A549" s="34"/>
    </row>
    <row r="550">
      <c r="A550" s="34"/>
    </row>
    <row r="551">
      <c r="A551" s="34"/>
    </row>
    <row r="552">
      <c r="A552" s="34"/>
    </row>
    <row r="553">
      <c r="A553" s="34"/>
    </row>
    <row r="554">
      <c r="A554" s="34"/>
    </row>
    <row r="555">
      <c r="A555" s="34"/>
    </row>
    <row r="556">
      <c r="A556" s="34"/>
    </row>
    <row r="557">
      <c r="A557" s="34"/>
    </row>
    <row r="558">
      <c r="A558" s="34"/>
    </row>
    <row r="559">
      <c r="A559" s="34"/>
    </row>
    <row r="560">
      <c r="A560" s="34"/>
    </row>
    <row r="561">
      <c r="A561" s="34"/>
    </row>
    <row r="562">
      <c r="A562" s="34"/>
    </row>
    <row r="563">
      <c r="A563" s="34"/>
    </row>
    <row r="564">
      <c r="A564" s="34"/>
    </row>
    <row r="565">
      <c r="A565" s="34"/>
    </row>
    <row r="566">
      <c r="A566" s="34"/>
    </row>
    <row r="567">
      <c r="A567" s="34"/>
    </row>
    <row r="568">
      <c r="A568" s="34"/>
    </row>
    <row r="569">
      <c r="A569" s="34"/>
    </row>
    <row r="570">
      <c r="A570" s="34"/>
    </row>
    <row r="571">
      <c r="A571" s="34"/>
    </row>
    <row r="572">
      <c r="A572" s="34"/>
    </row>
    <row r="573">
      <c r="A573" s="34"/>
    </row>
    <row r="574">
      <c r="A574" s="34"/>
    </row>
    <row r="575">
      <c r="A575" s="34"/>
    </row>
    <row r="576">
      <c r="A576" s="34"/>
    </row>
    <row r="577">
      <c r="A577" s="34"/>
    </row>
    <row r="578">
      <c r="A578" s="34"/>
    </row>
    <row r="579">
      <c r="A579" s="34"/>
    </row>
    <row r="580">
      <c r="A580" s="34"/>
    </row>
    <row r="581">
      <c r="A581" s="34"/>
    </row>
    <row r="582">
      <c r="A582" s="34"/>
    </row>
    <row r="583">
      <c r="A583" s="34"/>
    </row>
    <row r="584">
      <c r="A584" s="34"/>
    </row>
    <row r="585">
      <c r="A585" s="34"/>
    </row>
    <row r="586">
      <c r="A586" s="34"/>
    </row>
    <row r="587">
      <c r="A587" s="34"/>
    </row>
    <row r="588">
      <c r="A588" s="34"/>
    </row>
    <row r="589">
      <c r="A589" s="34"/>
    </row>
    <row r="590">
      <c r="A590" s="34"/>
    </row>
    <row r="591">
      <c r="A591" s="34"/>
    </row>
    <row r="592">
      <c r="A592" s="34"/>
    </row>
    <row r="593">
      <c r="A593" s="34"/>
    </row>
    <row r="594">
      <c r="A594" s="34"/>
    </row>
    <row r="595">
      <c r="A595" s="34"/>
    </row>
    <row r="596">
      <c r="A596" s="34"/>
    </row>
    <row r="597">
      <c r="A597" s="34"/>
    </row>
    <row r="598">
      <c r="A598" s="34"/>
    </row>
    <row r="599">
      <c r="A599" s="34"/>
    </row>
    <row r="600">
      <c r="A600" s="34"/>
    </row>
    <row r="601">
      <c r="A601" s="34"/>
    </row>
    <row r="602">
      <c r="A602" s="34"/>
    </row>
    <row r="603">
      <c r="A603" s="34"/>
    </row>
    <row r="604">
      <c r="A604" s="34"/>
    </row>
    <row r="605">
      <c r="A605" s="34"/>
    </row>
    <row r="606">
      <c r="A606" s="34"/>
    </row>
    <row r="607">
      <c r="A607" s="34"/>
    </row>
    <row r="608">
      <c r="A608" s="34"/>
    </row>
    <row r="609">
      <c r="A609" s="34"/>
    </row>
    <row r="610">
      <c r="A610" s="34"/>
    </row>
    <row r="611">
      <c r="A611" s="34"/>
    </row>
    <row r="612">
      <c r="A612" s="34"/>
    </row>
    <row r="613">
      <c r="A613" s="34"/>
    </row>
    <row r="614">
      <c r="A614" s="34"/>
    </row>
    <row r="615">
      <c r="A615" s="34"/>
    </row>
    <row r="616">
      <c r="A616" s="34"/>
    </row>
    <row r="617">
      <c r="A617" s="34"/>
    </row>
    <row r="618">
      <c r="A618" s="34"/>
    </row>
    <row r="619">
      <c r="A619" s="34"/>
    </row>
    <row r="620">
      <c r="A620" s="34"/>
    </row>
    <row r="621">
      <c r="A621" s="34"/>
    </row>
    <row r="622">
      <c r="A622" s="34"/>
    </row>
    <row r="623">
      <c r="A623" s="34"/>
    </row>
    <row r="624">
      <c r="A624" s="34"/>
    </row>
    <row r="625">
      <c r="A625" s="34"/>
    </row>
    <row r="626">
      <c r="A626" s="34"/>
    </row>
    <row r="627">
      <c r="A627" s="34"/>
    </row>
    <row r="628">
      <c r="A628" s="34"/>
    </row>
    <row r="629">
      <c r="A629" s="34"/>
    </row>
    <row r="630">
      <c r="A630" s="34"/>
    </row>
    <row r="631">
      <c r="A631" s="34"/>
    </row>
    <row r="632">
      <c r="A632" s="34"/>
    </row>
    <row r="633">
      <c r="A633" s="34"/>
    </row>
    <row r="634">
      <c r="A634" s="34"/>
    </row>
    <row r="635">
      <c r="A635" s="34"/>
    </row>
    <row r="636">
      <c r="A636" s="34"/>
    </row>
    <row r="637">
      <c r="A637" s="34"/>
    </row>
    <row r="638">
      <c r="A638" s="34"/>
    </row>
    <row r="639">
      <c r="A639" s="34"/>
    </row>
    <row r="640">
      <c r="A640" s="34"/>
    </row>
    <row r="641">
      <c r="A641" s="34"/>
    </row>
    <row r="642">
      <c r="A642" s="34"/>
    </row>
    <row r="643">
      <c r="A643" s="34"/>
    </row>
    <row r="644">
      <c r="A644" s="34"/>
    </row>
    <row r="645">
      <c r="A645" s="34"/>
    </row>
    <row r="646">
      <c r="A646" s="34"/>
    </row>
    <row r="647">
      <c r="A647" s="34"/>
    </row>
    <row r="648">
      <c r="A648" s="34"/>
    </row>
    <row r="649">
      <c r="A649" s="34"/>
    </row>
    <row r="650">
      <c r="A650" s="34"/>
    </row>
    <row r="651">
      <c r="A651" s="34"/>
    </row>
    <row r="652">
      <c r="A652" s="34"/>
    </row>
    <row r="653">
      <c r="A653" s="34"/>
    </row>
    <row r="654">
      <c r="A654" s="34"/>
    </row>
    <row r="655">
      <c r="A655" s="34"/>
    </row>
    <row r="656">
      <c r="A656" s="34"/>
    </row>
    <row r="657">
      <c r="A657" s="34"/>
    </row>
    <row r="658">
      <c r="A658" s="34"/>
    </row>
    <row r="659">
      <c r="A659" s="34"/>
    </row>
    <row r="660">
      <c r="A660" s="34"/>
    </row>
    <row r="661">
      <c r="A661" s="34"/>
    </row>
    <row r="662">
      <c r="A662" s="34"/>
    </row>
    <row r="663">
      <c r="A663" s="34"/>
    </row>
    <row r="664">
      <c r="A664" s="34"/>
    </row>
    <row r="665">
      <c r="A665" s="34"/>
    </row>
    <row r="666">
      <c r="A666" s="34"/>
    </row>
    <row r="667">
      <c r="A667" s="34"/>
    </row>
    <row r="668">
      <c r="A668" s="34"/>
    </row>
    <row r="669">
      <c r="A669" s="34"/>
    </row>
    <row r="670">
      <c r="A670" s="34"/>
    </row>
    <row r="671">
      <c r="A671" s="34"/>
    </row>
    <row r="672">
      <c r="A672" s="34"/>
    </row>
    <row r="673">
      <c r="A673" s="34"/>
    </row>
    <row r="674">
      <c r="A674" s="34"/>
    </row>
    <row r="675">
      <c r="A675" s="34"/>
    </row>
    <row r="676">
      <c r="A676" s="34"/>
    </row>
    <row r="677">
      <c r="A677" s="34"/>
    </row>
    <row r="678">
      <c r="A678" s="34"/>
    </row>
    <row r="679">
      <c r="A679" s="34"/>
    </row>
    <row r="680">
      <c r="A680" s="34"/>
    </row>
    <row r="681">
      <c r="A681" s="34"/>
    </row>
    <row r="682">
      <c r="A682" s="34"/>
    </row>
    <row r="683">
      <c r="A683" s="34"/>
    </row>
    <row r="684">
      <c r="A684" s="34"/>
    </row>
    <row r="685">
      <c r="A685" s="34"/>
    </row>
    <row r="686">
      <c r="A686" s="34"/>
    </row>
    <row r="687">
      <c r="A687" s="34"/>
    </row>
    <row r="688">
      <c r="A688" s="34"/>
    </row>
    <row r="689">
      <c r="A689" s="34"/>
    </row>
    <row r="690">
      <c r="A690" s="34"/>
    </row>
    <row r="691">
      <c r="A691" s="34"/>
    </row>
    <row r="692">
      <c r="A692" s="34"/>
    </row>
    <row r="693">
      <c r="A693" s="34"/>
    </row>
    <row r="694">
      <c r="A694" s="34"/>
    </row>
    <row r="695">
      <c r="A695" s="34"/>
    </row>
    <row r="696">
      <c r="A696" s="34"/>
    </row>
    <row r="697">
      <c r="A697" s="34"/>
    </row>
    <row r="698">
      <c r="A698" s="34"/>
    </row>
    <row r="699">
      <c r="A699" s="34"/>
    </row>
    <row r="700">
      <c r="A700" s="34"/>
    </row>
    <row r="701">
      <c r="A701" s="34"/>
    </row>
    <row r="702">
      <c r="A702" s="34"/>
    </row>
    <row r="703">
      <c r="A703" s="34"/>
    </row>
    <row r="704">
      <c r="A704" s="34"/>
    </row>
    <row r="705">
      <c r="A705" s="34"/>
    </row>
    <row r="706">
      <c r="A706" s="34"/>
    </row>
    <row r="707">
      <c r="A707" s="34"/>
    </row>
    <row r="708">
      <c r="A708" s="34"/>
    </row>
    <row r="709">
      <c r="A709" s="34"/>
    </row>
    <row r="710">
      <c r="A710" s="34"/>
    </row>
    <row r="711">
      <c r="A711" s="34"/>
    </row>
    <row r="712">
      <c r="A712" s="34"/>
    </row>
    <row r="713">
      <c r="A713" s="34"/>
    </row>
    <row r="714">
      <c r="A714" s="34"/>
    </row>
    <row r="715">
      <c r="A715" s="34"/>
    </row>
    <row r="716">
      <c r="A716" s="34"/>
    </row>
    <row r="717">
      <c r="A717" s="34"/>
    </row>
    <row r="718">
      <c r="A718" s="34"/>
    </row>
    <row r="719">
      <c r="A719" s="34"/>
    </row>
    <row r="720">
      <c r="A720" s="34"/>
    </row>
    <row r="721">
      <c r="A721" s="34"/>
    </row>
    <row r="722">
      <c r="A722" s="34"/>
    </row>
    <row r="723">
      <c r="A723" s="34"/>
    </row>
    <row r="724">
      <c r="A724" s="34"/>
    </row>
    <row r="725">
      <c r="A725" s="34"/>
    </row>
    <row r="726">
      <c r="A726" s="34"/>
    </row>
    <row r="727">
      <c r="A727" s="34"/>
    </row>
    <row r="728">
      <c r="A728" s="34"/>
    </row>
    <row r="729">
      <c r="A729" s="34"/>
    </row>
    <row r="730">
      <c r="A730" s="34"/>
    </row>
    <row r="731">
      <c r="A731" s="34"/>
    </row>
    <row r="732">
      <c r="A732" s="34"/>
    </row>
    <row r="733">
      <c r="A733" s="34"/>
    </row>
    <row r="734">
      <c r="A734" s="34"/>
    </row>
    <row r="735">
      <c r="A735" s="34"/>
    </row>
    <row r="736">
      <c r="A736" s="34"/>
    </row>
    <row r="737">
      <c r="A737" s="34"/>
    </row>
    <row r="738">
      <c r="A738" s="34"/>
    </row>
    <row r="739">
      <c r="A739" s="34"/>
    </row>
    <row r="740">
      <c r="A740" s="34"/>
    </row>
    <row r="741">
      <c r="A741" s="34"/>
    </row>
    <row r="742">
      <c r="A742" s="34"/>
    </row>
    <row r="743">
      <c r="A743" s="34"/>
    </row>
    <row r="744">
      <c r="A744" s="34"/>
    </row>
    <row r="745">
      <c r="A745" s="34"/>
    </row>
    <row r="746">
      <c r="A746" s="34"/>
    </row>
    <row r="747">
      <c r="A747" s="34"/>
    </row>
    <row r="748">
      <c r="A748" s="34"/>
    </row>
    <row r="749">
      <c r="A749" s="34"/>
    </row>
    <row r="750">
      <c r="A750" s="34"/>
    </row>
    <row r="751">
      <c r="A751" s="34"/>
    </row>
    <row r="752">
      <c r="A752" s="34"/>
    </row>
    <row r="753">
      <c r="A753" s="34"/>
    </row>
    <row r="754">
      <c r="A754" s="34"/>
    </row>
    <row r="755">
      <c r="A755" s="34"/>
    </row>
    <row r="756">
      <c r="A756" s="34"/>
    </row>
    <row r="757">
      <c r="A757" s="34"/>
    </row>
    <row r="758">
      <c r="A758" s="34"/>
    </row>
    <row r="759">
      <c r="A759" s="34"/>
    </row>
    <row r="760">
      <c r="A760" s="34"/>
    </row>
    <row r="761">
      <c r="A761" s="34"/>
    </row>
    <row r="762">
      <c r="A762" s="34"/>
    </row>
    <row r="763">
      <c r="A763" s="34"/>
    </row>
    <row r="764">
      <c r="A764" s="34"/>
    </row>
    <row r="765">
      <c r="A765" s="34"/>
    </row>
    <row r="766">
      <c r="A766" s="34"/>
    </row>
    <row r="767">
      <c r="A767" s="34"/>
    </row>
    <row r="768">
      <c r="A768" s="34"/>
    </row>
    <row r="769">
      <c r="A769" s="34"/>
    </row>
    <row r="770">
      <c r="A770" s="34"/>
    </row>
    <row r="771">
      <c r="A771" s="34"/>
    </row>
    <row r="772">
      <c r="A772" s="34"/>
    </row>
    <row r="773">
      <c r="A773" s="34"/>
    </row>
    <row r="774">
      <c r="A774" s="34"/>
    </row>
    <row r="775">
      <c r="A775" s="34"/>
    </row>
    <row r="776">
      <c r="A776" s="34"/>
    </row>
    <row r="777">
      <c r="A777" s="34"/>
    </row>
    <row r="778">
      <c r="A778" s="34"/>
    </row>
    <row r="779">
      <c r="A779" s="34"/>
    </row>
    <row r="780">
      <c r="A780" s="34"/>
    </row>
    <row r="781">
      <c r="A781" s="34"/>
    </row>
    <row r="782">
      <c r="A782" s="34"/>
    </row>
    <row r="783">
      <c r="A783" s="34"/>
    </row>
    <row r="784">
      <c r="A784" s="34"/>
    </row>
    <row r="785">
      <c r="A785" s="34"/>
    </row>
    <row r="786">
      <c r="A786" s="34"/>
    </row>
    <row r="787">
      <c r="A787" s="34"/>
    </row>
    <row r="788">
      <c r="A788" s="34"/>
    </row>
    <row r="789">
      <c r="A789" s="34"/>
    </row>
    <row r="790">
      <c r="A790" s="34"/>
    </row>
    <row r="791">
      <c r="A791" s="34"/>
    </row>
    <row r="792">
      <c r="A792" s="34"/>
    </row>
    <row r="793">
      <c r="A793" s="34"/>
    </row>
    <row r="794">
      <c r="A794" s="34"/>
    </row>
    <row r="795">
      <c r="A795" s="34"/>
    </row>
    <row r="796">
      <c r="A796" s="34"/>
    </row>
    <row r="797">
      <c r="A797" s="34"/>
    </row>
    <row r="798">
      <c r="A798" s="34"/>
    </row>
    <row r="799">
      <c r="A799" s="34"/>
    </row>
    <row r="800">
      <c r="A800" s="34"/>
    </row>
    <row r="801">
      <c r="A801" s="34"/>
    </row>
    <row r="802">
      <c r="A802" s="34"/>
    </row>
    <row r="803">
      <c r="A803" s="34"/>
    </row>
    <row r="804">
      <c r="A804" s="34"/>
    </row>
    <row r="805">
      <c r="A805" s="34"/>
    </row>
    <row r="806">
      <c r="A806" s="34"/>
    </row>
    <row r="807">
      <c r="A807" s="34"/>
    </row>
    <row r="808">
      <c r="A808" s="34"/>
    </row>
    <row r="809">
      <c r="A809" s="34"/>
    </row>
    <row r="810">
      <c r="A810" s="34"/>
    </row>
    <row r="811">
      <c r="A811" s="34"/>
    </row>
    <row r="812">
      <c r="A812" s="34"/>
    </row>
    <row r="813">
      <c r="A813" s="34"/>
    </row>
    <row r="814">
      <c r="A814" s="34"/>
    </row>
    <row r="815">
      <c r="A815" s="34"/>
    </row>
    <row r="816">
      <c r="A816" s="34"/>
    </row>
    <row r="817">
      <c r="A817" s="34"/>
    </row>
    <row r="818">
      <c r="A818" s="34"/>
    </row>
    <row r="819">
      <c r="A819" s="34"/>
    </row>
    <row r="820">
      <c r="A820" s="34"/>
    </row>
    <row r="821">
      <c r="A821" s="34"/>
    </row>
    <row r="822">
      <c r="A822" s="34"/>
    </row>
    <row r="823">
      <c r="A823" s="34"/>
    </row>
    <row r="824">
      <c r="A824" s="34"/>
    </row>
    <row r="825">
      <c r="A825" s="34"/>
    </row>
    <row r="826">
      <c r="A826" s="34"/>
    </row>
    <row r="827">
      <c r="A827" s="34"/>
    </row>
    <row r="828">
      <c r="A828" s="34"/>
    </row>
    <row r="829">
      <c r="A829" s="34"/>
    </row>
    <row r="830">
      <c r="A830" s="34"/>
    </row>
    <row r="831">
      <c r="A831" s="34"/>
    </row>
    <row r="832">
      <c r="A832" s="34"/>
    </row>
    <row r="833">
      <c r="A833" s="34"/>
    </row>
    <row r="834">
      <c r="A834" s="34"/>
    </row>
    <row r="835">
      <c r="A835" s="34"/>
    </row>
    <row r="836">
      <c r="A836" s="34"/>
    </row>
    <row r="837">
      <c r="A837" s="34"/>
    </row>
    <row r="838">
      <c r="A838" s="34"/>
    </row>
    <row r="839">
      <c r="A839" s="34"/>
    </row>
    <row r="840">
      <c r="A840" s="34"/>
    </row>
    <row r="841">
      <c r="A841" s="34"/>
    </row>
    <row r="842">
      <c r="A842" s="34"/>
    </row>
    <row r="843">
      <c r="A843" s="34"/>
    </row>
    <row r="844">
      <c r="A844" s="34"/>
    </row>
    <row r="845">
      <c r="A845" s="34"/>
    </row>
    <row r="846">
      <c r="A846" s="34"/>
    </row>
    <row r="847">
      <c r="A847" s="34"/>
    </row>
    <row r="848">
      <c r="A848" s="34"/>
    </row>
    <row r="849">
      <c r="A849" s="34"/>
    </row>
    <row r="850">
      <c r="A850" s="34"/>
    </row>
    <row r="851">
      <c r="A851" s="34"/>
    </row>
    <row r="852">
      <c r="A852" s="34"/>
    </row>
    <row r="853">
      <c r="A853" s="34"/>
    </row>
    <row r="854">
      <c r="A854" s="34"/>
    </row>
    <row r="855">
      <c r="A855" s="34"/>
    </row>
    <row r="856">
      <c r="A856" s="34"/>
    </row>
    <row r="857">
      <c r="A857" s="34"/>
    </row>
    <row r="858">
      <c r="A858" s="34"/>
    </row>
    <row r="859">
      <c r="A859" s="34"/>
    </row>
    <row r="860">
      <c r="A860" s="34"/>
    </row>
    <row r="861">
      <c r="A861" s="34"/>
    </row>
    <row r="862">
      <c r="A862" s="34"/>
    </row>
    <row r="863">
      <c r="A863" s="34"/>
    </row>
    <row r="864">
      <c r="A864" s="34"/>
    </row>
    <row r="865">
      <c r="A865" s="34"/>
    </row>
    <row r="866">
      <c r="A866" s="34"/>
    </row>
    <row r="867">
      <c r="A867" s="34"/>
    </row>
    <row r="868">
      <c r="A868" s="34"/>
    </row>
    <row r="869">
      <c r="A869" s="34"/>
    </row>
    <row r="870">
      <c r="A870" s="34"/>
    </row>
    <row r="871">
      <c r="A871" s="34"/>
    </row>
    <row r="872">
      <c r="A872" s="34"/>
    </row>
    <row r="873">
      <c r="A873" s="34"/>
    </row>
    <row r="874">
      <c r="A874" s="34"/>
    </row>
    <row r="875">
      <c r="A875" s="34"/>
    </row>
    <row r="876">
      <c r="A876" s="34"/>
    </row>
    <row r="877">
      <c r="A877" s="34"/>
    </row>
    <row r="878">
      <c r="A878" s="34"/>
    </row>
    <row r="879">
      <c r="A879" s="34"/>
    </row>
    <row r="880">
      <c r="A880" s="34"/>
    </row>
    <row r="881">
      <c r="A881" s="34"/>
    </row>
    <row r="882">
      <c r="A882" s="34"/>
    </row>
    <row r="883">
      <c r="A883" s="34"/>
    </row>
    <row r="884">
      <c r="A884" s="34"/>
    </row>
    <row r="885">
      <c r="A885" s="34"/>
    </row>
    <row r="886">
      <c r="A886" s="34"/>
    </row>
    <row r="887">
      <c r="A887" s="34"/>
    </row>
    <row r="888">
      <c r="A888" s="34"/>
    </row>
    <row r="889">
      <c r="A889" s="34"/>
    </row>
    <row r="890">
      <c r="A890" s="34"/>
    </row>
    <row r="891">
      <c r="A891" s="34"/>
    </row>
    <row r="892">
      <c r="A892" s="34"/>
    </row>
    <row r="893">
      <c r="A893" s="34"/>
    </row>
    <row r="894">
      <c r="A894" s="34"/>
    </row>
    <row r="895">
      <c r="A895" s="34"/>
    </row>
    <row r="896">
      <c r="A896" s="34"/>
    </row>
    <row r="897">
      <c r="A897" s="34"/>
    </row>
    <row r="898">
      <c r="A898" s="34"/>
    </row>
    <row r="899">
      <c r="A899" s="34"/>
    </row>
    <row r="900">
      <c r="A900" s="34"/>
    </row>
    <row r="901">
      <c r="A901" s="34"/>
    </row>
    <row r="902">
      <c r="A902" s="34"/>
    </row>
    <row r="903">
      <c r="A903" s="34"/>
    </row>
    <row r="904">
      <c r="A904" s="34"/>
    </row>
    <row r="905">
      <c r="A905" s="34"/>
    </row>
    <row r="906">
      <c r="A906" s="34"/>
    </row>
    <row r="907">
      <c r="A907" s="34"/>
    </row>
    <row r="908">
      <c r="A908" s="34"/>
    </row>
    <row r="909">
      <c r="A909" s="34"/>
    </row>
    <row r="910">
      <c r="A910" s="34"/>
    </row>
    <row r="911">
      <c r="A911" s="34"/>
    </row>
    <row r="912">
      <c r="A912" s="34"/>
    </row>
    <row r="913">
      <c r="A913" s="34"/>
    </row>
    <row r="914">
      <c r="A914" s="34"/>
    </row>
    <row r="915">
      <c r="A915" s="34"/>
    </row>
    <row r="916">
      <c r="A916" s="34"/>
    </row>
    <row r="917">
      <c r="A917" s="34"/>
    </row>
    <row r="918">
      <c r="A918" s="34"/>
    </row>
    <row r="919">
      <c r="A919" s="34"/>
    </row>
    <row r="920">
      <c r="A920" s="34"/>
    </row>
    <row r="921">
      <c r="A921" s="34"/>
    </row>
    <row r="922">
      <c r="A922" s="34"/>
    </row>
    <row r="923">
      <c r="A923" s="34"/>
    </row>
    <row r="924">
      <c r="A924" s="34"/>
    </row>
    <row r="925">
      <c r="A925" s="34"/>
    </row>
    <row r="926">
      <c r="A926" s="34"/>
    </row>
    <row r="927">
      <c r="A927" s="34"/>
    </row>
    <row r="928">
      <c r="A928" s="34"/>
    </row>
    <row r="929">
      <c r="A929" s="34"/>
    </row>
    <row r="930">
      <c r="A930" s="34"/>
    </row>
    <row r="931">
      <c r="A931" s="34"/>
    </row>
    <row r="932">
      <c r="A932" s="34"/>
    </row>
    <row r="933">
      <c r="A933" s="34"/>
    </row>
    <row r="934">
      <c r="A934" s="34"/>
    </row>
    <row r="935">
      <c r="A935" s="34"/>
    </row>
    <row r="936">
      <c r="A936" s="34"/>
    </row>
    <row r="937">
      <c r="A937" s="34"/>
    </row>
    <row r="938">
      <c r="A938" s="34"/>
    </row>
    <row r="939">
      <c r="A939" s="34"/>
    </row>
    <row r="940">
      <c r="A940" s="34"/>
    </row>
    <row r="941">
      <c r="A941" s="34"/>
    </row>
    <row r="942">
      <c r="A942" s="34"/>
    </row>
    <row r="943">
      <c r="A943" s="34"/>
    </row>
    <row r="944">
      <c r="A944" s="34"/>
    </row>
    <row r="945">
      <c r="A945" s="34"/>
    </row>
    <row r="946">
      <c r="A946" s="34"/>
    </row>
    <row r="947">
      <c r="A947" s="34"/>
    </row>
    <row r="948">
      <c r="A948" s="34"/>
    </row>
    <row r="949">
      <c r="A949" s="34"/>
    </row>
    <row r="950">
      <c r="A950" s="34"/>
    </row>
    <row r="951">
      <c r="A951" s="34"/>
    </row>
    <row r="952">
      <c r="A952" s="34"/>
    </row>
    <row r="953">
      <c r="A953" s="34"/>
    </row>
    <row r="954">
      <c r="A954" s="34"/>
    </row>
    <row r="955">
      <c r="A955" s="34"/>
    </row>
    <row r="956">
      <c r="A956" s="34"/>
    </row>
    <row r="957">
      <c r="A957" s="34"/>
    </row>
    <row r="958">
      <c r="A958" s="34"/>
    </row>
    <row r="959">
      <c r="A959" s="34"/>
    </row>
    <row r="960">
      <c r="A960" s="34"/>
    </row>
    <row r="961">
      <c r="A961" s="34"/>
    </row>
    <row r="962">
      <c r="A962" s="34"/>
    </row>
    <row r="963">
      <c r="A963" s="34"/>
    </row>
    <row r="964">
      <c r="A964" s="34"/>
    </row>
    <row r="965">
      <c r="A965" s="34"/>
    </row>
    <row r="966">
      <c r="A966" s="34"/>
    </row>
    <row r="967">
      <c r="A967" s="34"/>
    </row>
    <row r="968">
      <c r="A968" s="34"/>
    </row>
    <row r="969">
      <c r="A969" s="34"/>
    </row>
    <row r="970">
      <c r="A970" s="34"/>
    </row>
    <row r="971">
      <c r="A971" s="34"/>
    </row>
    <row r="972">
      <c r="A972" s="34"/>
    </row>
    <row r="973">
      <c r="A973" s="34"/>
    </row>
    <row r="974">
      <c r="A974" s="34"/>
    </row>
    <row r="975">
      <c r="A975" s="34"/>
    </row>
    <row r="976">
      <c r="A976" s="34"/>
    </row>
    <row r="977">
      <c r="A977" s="34"/>
    </row>
    <row r="978">
      <c r="A978" s="34"/>
    </row>
    <row r="979">
      <c r="A979" s="34"/>
    </row>
    <row r="980">
      <c r="A980" s="34"/>
    </row>
    <row r="981">
      <c r="A981" s="34"/>
    </row>
    <row r="982">
      <c r="A982" s="34"/>
    </row>
    <row r="983">
      <c r="A983" s="34"/>
    </row>
    <row r="984">
      <c r="A984" s="34"/>
    </row>
    <row r="985">
      <c r="A985" s="34"/>
    </row>
    <row r="986">
      <c r="A986" s="34"/>
    </row>
    <row r="987">
      <c r="A987" s="34"/>
    </row>
    <row r="988">
      <c r="A988" s="34"/>
    </row>
    <row r="989">
      <c r="A989" s="34"/>
    </row>
    <row r="990">
      <c r="A990" s="34"/>
    </row>
    <row r="991">
      <c r="A991" s="34"/>
    </row>
    <row r="992">
      <c r="A992" s="34"/>
    </row>
    <row r="993">
      <c r="A993" s="34"/>
    </row>
    <row r="994">
      <c r="A994" s="34"/>
    </row>
    <row r="995">
      <c r="A995" s="34"/>
    </row>
    <row r="996">
      <c r="A996" s="34"/>
    </row>
    <row r="997">
      <c r="A997" s="34"/>
    </row>
    <row r="998">
      <c r="A998" s="34"/>
    </row>
    <row r="999">
      <c r="A999" s="34"/>
    </row>
    <row r="1000">
      <c r="A1000" s="3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8.38"/>
    <col customWidth="1" min="3" max="3" width="32.25"/>
  </cols>
  <sheetData>
    <row r="1">
      <c r="A1" s="59" t="s">
        <v>294</v>
      </c>
      <c r="B1" s="59" t="s">
        <v>295</v>
      </c>
      <c r="C1" s="59" t="s">
        <v>138</v>
      </c>
      <c r="D1" s="59" t="s">
        <v>296</v>
      </c>
    </row>
    <row r="2">
      <c r="A2" s="60" t="s">
        <v>273</v>
      </c>
      <c r="B2" s="61">
        <v>1.0</v>
      </c>
      <c r="C2" s="62" t="s">
        <v>252</v>
      </c>
      <c r="D2" s="63">
        <v>72766.0</v>
      </c>
    </row>
    <row r="3">
      <c r="A3" s="60" t="s">
        <v>273</v>
      </c>
      <c r="B3" s="61">
        <v>2.0</v>
      </c>
      <c r="C3" s="62" t="s">
        <v>247</v>
      </c>
      <c r="D3" s="63">
        <v>44330.0</v>
      </c>
    </row>
    <row r="4">
      <c r="A4" s="60" t="s">
        <v>273</v>
      </c>
      <c r="B4" s="61">
        <v>3.0</v>
      </c>
      <c r="C4" s="62" t="s">
        <v>247</v>
      </c>
      <c r="D4" s="63">
        <v>44330.0</v>
      </c>
    </row>
    <row r="5">
      <c r="A5" s="60" t="s">
        <v>273</v>
      </c>
      <c r="B5" s="61">
        <v>4.0</v>
      </c>
      <c r="C5" s="62" t="s">
        <v>215</v>
      </c>
      <c r="D5" s="63">
        <v>67382.0</v>
      </c>
    </row>
    <row r="6">
      <c r="A6" s="60" t="s">
        <v>273</v>
      </c>
      <c r="B6" s="61">
        <v>5.0</v>
      </c>
      <c r="C6" s="62" t="s">
        <v>252</v>
      </c>
      <c r="D6" s="63">
        <v>72766.0</v>
      </c>
    </row>
    <row r="7">
      <c r="A7" s="60" t="s">
        <v>273</v>
      </c>
      <c r="B7" s="61">
        <v>6.0</v>
      </c>
      <c r="C7" s="62" t="s">
        <v>257</v>
      </c>
      <c r="D7" s="63">
        <v>50113.0</v>
      </c>
    </row>
    <row r="8">
      <c r="A8" s="60" t="s">
        <v>274</v>
      </c>
      <c r="B8" s="61">
        <v>1.0</v>
      </c>
      <c r="C8" s="62" t="s">
        <v>261</v>
      </c>
      <c r="D8" s="63">
        <v>44315.0</v>
      </c>
    </row>
    <row r="9">
      <c r="A9" s="60" t="s">
        <v>274</v>
      </c>
      <c r="B9" s="61">
        <v>2.0</v>
      </c>
      <c r="C9" s="62" t="s">
        <v>234</v>
      </c>
      <c r="D9" s="63">
        <v>69391.0</v>
      </c>
    </row>
    <row r="10">
      <c r="A10" s="60" t="s">
        <v>274</v>
      </c>
      <c r="B10" s="61">
        <v>3.0</v>
      </c>
      <c r="C10" s="62" t="s">
        <v>265</v>
      </c>
      <c r="D10" s="63">
        <v>48821.0</v>
      </c>
    </row>
    <row r="11">
      <c r="A11" s="60" t="s">
        <v>274</v>
      </c>
      <c r="B11" s="61">
        <v>4.0</v>
      </c>
      <c r="C11" s="62" t="s">
        <v>201</v>
      </c>
      <c r="D11" s="63">
        <v>69650.0</v>
      </c>
    </row>
    <row r="12">
      <c r="A12" s="60" t="s">
        <v>274</v>
      </c>
      <c r="B12" s="61">
        <v>5.0</v>
      </c>
      <c r="C12" s="62" t="s">
        <v>230</v>
      </c>
      <c r="D12" s="63">
        <v>65123.0</v>
      </c>
    </row>
    <row r="13">
      <c r="A13" s="60" t="s">
        <v>274</v>
      </c>
      <c r="B13" s="61">
        <v>6.0</v>
      </c>
      <c r="C13" s="62" t="s">
        <v>265</v>
      </c>
      <c r="D13" s="63">
        <v>48821.0</v>
      </c>
    </row>
    <row r="14">
      <c r="A14" s="60" t="s">
        <v>275</v>
      </c>
      <c r="B14" s="61">
        <v>1.0</v>
      </c>
      <c r="C14" s="62" t="s">
        <v>195</v>
      </c>
      <c r="D14" s="63">
        <v>78576.0</v>
      </c>
    </row>
    <row r="15">
      <c r="A15" s="60" t="s">
        <v>275</v>
      </c>
      <c r="B15" s="61">
        <v>2.0</v>
      </c>
      <c r="C15" s="62" t="s">
        <v>238</v>
      </c>
      <c r="D15" s="63">
        <v>63815.0</v>
      </c>
    </row>
    <row r="16">
      <c r="A16" s="60" t="s">
        <v>275</v>
      </c>
      <c r="B16" s="61">
        <v>3.0</v>
      </c>
      <c r="C16" s="62" t="s">
        <v>225</v>
      </c>
      <c r="D16" s="63">
        <v>65827.0</v>
      </c>
    </row>
    <row r="17">
      <c r="A17" s="60" t="s">
        <v>275</v>
      </c>
      <c r="B17" s="61">
        <v>4.0</v>
      </c>
      <c r="C17" s="62" t="s">
        <v>238</v>
      </c>
      <c r="D17" s="63">
        <v>63815.0</v>
      </c>
    </row>
    <row r="18">
      <c r="A18" s="60" t="s">
        <v>275</v>
      </c>
      <c r="B18" s="61">
        <v>5.0</v>
      </c>
      <c r="C18" s="62" t="s">
        <v>215</v>
      </c>
      <c r="D18" s="63">
        <v>67382.0</v>
      </c>
    </row>
    <row r="19">
      <c r="A19" s="60" t="s">
        <v>275</v>
      </c>
      <c r="B19" s="61">
        <v>6.0</v>
      </c>
      <c r="C19" s="62" t="s">
        <v>220</v>
      </c>
      <c r="D19" s="63">
        <v>64091.0</v>
      </c>
    </row>
    <row r="20">
      <c r="A20" s="60" t="s">
        <v>133</v>
      </c>
      <c r="B20" s="61">
        <v>1.0</v>
      </c>
      <c r="C20" s="62" t="s">
        <v>201</v>
      </c>
      <c r="D20" s="63">
        <v>69650.0</v>
      </c>
    </row>
    <row r="21">
      <c r="A21" s="60" t="s">
        <v>133</v>
      </c>
      <c r="B21" s="61">
        <v>2.0</v>
      </c>
      <c r="C21" s="62" t="s">
        <v>265</v>
      </c>
      <c r="D21" s="63">
        <v>48821.0</v>
      </c>
    </row>
    <row r="22">
      <c r="A22" s="60" t="s">
        <v>133</v>
      </c>
      <c r="B22" s="61">
        <v>3.0</v>
      </c>
      <c r="C22" s="62" t="s">
        <v>234</v>
      </c>
      <c r="D22" s="63">
        <v>69391.0</v>
      </c>
    </row>
    <row r="23">
      <c r="A23" s="60" t="s">
        <v>133</v>
      </c>
      <c r="B23" s="61">
        <v>4.0</v>
      </c>
      <c r="C23" s="62" t="s">
        <v>230</v>
      </c>
      <c r="D23" s="63">
        <v>65123.0</v>
      </c>
    </row>
    <row r="24">
      <c r="A24" s="60" t="s">
        <v>133</v>
      </c>
      <c r="B24" s="61">
        <v>5.0</v>
      </c>
      <c r="C24" s="62" t="s">
        <v>201</v>
      </c>
      <c r="D24" s="63">
        <v>69650.0</v>
      </c>
    </row>
    <row r="25">
      <c r="A25" s="60" t="s">
        <v>133</v>
      </c>
      <c r="B25" s="61">
        <v>6.0</v>
      </c>
      <c r="C25" s="62" t="s">
        <v>234</v>
      </c>
      <c r="D25" s="63">
        <v>69391.0</v>
      </c>
    </row>
    <row r="26">
      <c r="A26" s="60" t="s">
        <v>276</v>
      </c>
      <c r="B26" s="61">
        <v>1.0</v>
      </c>
      <c r="C26" s="62" t="s">
        <v>225</v>
      </c>
      <c r="D26" s="63">
        <v>65827.0</v>
      </c>
    </row>
    <row r="27">
      <c r="A27" s="60" t="s">
        <v>276</v>
      </c>
      <c r="B27" s="61">
        <v>2.0</v>
      </c>
      <c r="C27" s="62" t="s">
        <v>211</v>
      </c>
      <c r="D27" s="63">
        <v>68311.0</v>
      </c>
    </row>
    <row r="28">
      <c r="A28" s="60" t="s">
        <v>276</v>
      </c>
      <c r="B28" s="61">
        <v>3.0</v>
      </c>
      <c r="C28" s="62" t="s">
        <v>261</v>
      </c>
      <c r="D28" s="63">
        <v>44315.0</v>
      </c>
    </row>
    <row r="29">
      <c r="A29" s="60" t="s">
        <v>276</v>
      </c>
      <c r="B29" s="61">
        <v>4.0</v>
      </c>
      <c r="C29" s="62" t="s">
        <v>242</v>
      </c>
      <c r="D29" s="63">
        <v>67513.0</v>
      </c>
    </row>
    <row r="30">
      <c r="A30" s="60" t="s">
        <v>276</v>
      </c>
      <c r="B30" s="61">
        <v>5.0</v>
      </c>
      <c r="C30" s="62" t="s">
        <v>225</v>
      </c>
      <c r="D30" s="63">
        <v>65827.0</v>
      </c>
    </row>
    <row r="31">
      <c r="A31" s="60" t="s">
        <v>276</v>
      </c>
      <c r="B31" s="61">
        <v>6.0</v>
      </c>
      <c r="C31" s="62" t="s">
        <v>195</v>
      </c>
      <c r="D31" s="63">
        <v>78576.0</v>
      </c>
    </row>
    <row r="32">
      <c r="A32" s="60" t="s">
        <v>277</v>
      </c>
      <c r="B32" s="61">
        <v>1.0</v>
      </c>
      <c r="C32" s="62" t="s">
        <v>206</v>
      </c>
      <c r="D32" s="63">
        <v>70122.0</v>
      </c>
    </row>
    <row r="33">
      <c r="A33" s="60" t="s">
        <v>277</v>
      </c>
      <c r="B33" s="61">
        <v>2.0</v>
      </c>
      <c r="C33" s="62" t="s">
        <v>257</v>
      </c>
      <c r="D33" s="63">
        <v>50113.0</v>
      </c>
    </row>
    <row r="34">
      <c r="A34" s="60" t="s">
        <v>277</v>
      </c>
      <c r="B34" s="61">
        <v>3.0</v>
      </c>
      <c r="C34" s="62" t="s">
        <v>211</v>
      </c>
      <c r="D34" s="63">
        <v>68311.0</v>
      </c>
    </row>
    <row r="35">
      <c r="A35" s="60" t="s">
        <v>277</v>
      </c>
      <c r="B35" s="61">
        <v>4.0</v>
      </c>
      <c r="C35" s="62" t="s">
        <v>257</v>
      </c>
      <c r="D35" s="63">
        <v>50113.0</v>
      </c>
    </row>
    <row r="36">
      <c r="A36" s="60" t="s">
        <v>277</v>
      </c>
      <c r="B36" s="61">
        <v>5.0</v>
      </c>
      <c r="C36" s="62" t="s">
        <v>242</v>
      </c>
      <c r="D36" s="63">
        <v>67513.0</v>
      </c>
    </row>
    <row r="37">
      <c r="A37" s="60" t="s">
        <v>277</v>
      </c>
      <c r="B37" s="61">
        <v>6.0</v>
      </c>
      <c r="C37" s="62" t="s">
        <v>206</v>
      </c>
      <c r="D37" s="63">
        <v>70122.0</v>
      </c>
    </row>
    <row r="38">
      <c r="A38" s="60" t="s">
        <v>278</v>
      </c>
      <c r="B38" s="61">
        <v>1.0</v>
      </c>
      <c r="C38" s="62" t="s">
        <v>230</v>
      </c>
      <c r="D38" s="63">
        <v>65123.0</v>
      </c>
    </row>
    <row r="39">
      <c r="A39" s="60" t="s">
        <v>278</v>
      </c>
      <c r="B39" s="61">
        <v>2.0</v>
      </c>
      <c r="C39" s="62" t="s">
        <v>201</v>
      </c>
      <c r="D39" s="63">
        <v>69650.0</v>
      </c>
    </row>
    <row r="40">
      <c r="A40" s="60" t="s">
        <v>278</v>
      </c>
      <c r="B40" s="61">
        <v>3.0</v>
      </c>
      <c r="C40" s="62" t="s">
        <v>201</v>
      </c>
      <c r="D40" s="63">
        <v>69650.0</v>
      </c>
    </row>
    <row r="41">
      <c r="A41" s="60" t="s">
        <v>278</v>
      </c>
      <c r="B41" s="61">
        <v>4.0</v>
      </c>
      <c r="C41" s="62" t="s">
        <v>265</v>
      </c>
      <c r="D41" s="63">
        <v>48821.0</v>
      </c>
    </row>
    <row r="42">
      <c r="A42" s="60" t="s">
        <v>278</v>
      </c>
      <c r="B42" s="61">
        <v>5.0</v>
      </c>
      <c r="C42" s="62" t="s">
        <v>230</v>
      </c>
      <c r="D42" s="63">
        <v>65123.0</v>
      </c>
    </row>
    <row r="43">
      <c r="A43" s="60" t="s">
        <v>278</v>
      </c>
      <c r="B43" s="61">
        <v>6.0</v>
      </c>
      <c r="C43" s="62" t="s">
        <v>265</v>
      </c>
      <c r="D43" s="63">
        <v>48821.0</v>
      </c>
    </row>
    <row r="44">
      <c r="A44" s="60" t="s">
        <v>279</v>
      </c>
      <c r="B44" s="61">
        <v>1.0</v>
      </c>
      <c r="C44" s="62" t="s">
        <v>220</v>
      </c>
      <c r="D44" s="63">
        <v>64091.0</v>
      </c>
    </row>
    <row r="45">
      <c r="A45" s="60" t="s">
        <v>279</v>
      </c>
      <c r="B45" s="61">
        <v>2.0</v>
      </c>
      <c r="C45" s="62" t="s">
        <v>215</v>
      </c>
      <c r="D45" s="63">
        <v>67382.0</v>
      </c>
    </row>
    <row r="46">
      <c r="A46" s="60" t="s">
        <v>279</v>
      </c>
      <c r="B46" s="61">
        <v>3.0</v>
      </c>
      <c r="C46" s="62" t="s">
        <v>220</v>
      </c>
      <c r="D46" s="63">
        <v>64091.0</v>
      </c>
    </row>
    <row r="47">
      <c r="A47" s="60" t="s">
        <v>279</v>
      </c>
      <c r="B47" s="61">
        <v>4.0</v>
      </c>
      <c r="C47" s="62" t="s">
        <v>215</v>
      </c>
      <c r="D47" s="63">
        <v>67382.0</v>
      </c>
    </row>
    <row r="48">
      <c r="A48" s="60" t="s">
        <v>279</v>
      </c>
      <c r="B48" s="61">
        <v>5.0</v>
      </c>
      <c r="C48" s="62" t="s">
        <v>211</v>
      </c>
      <c r="D48" s="63">
        <v>68311.0</v>
      </c>
    </row>
    <row r="49">
      <c r="A49" s="60" t="s">
        <v>279</v>
      </c>
      <c r="B49" s="61">
        <v>6.0</v>
      </c>
      <c r="C49" s="62" t="s">
        <v>247</v>
      </c>
      <c r="D49" s="63">
        <v>44330.0</v>
      </c>
    </row>
    <row r="50">
      <c r="A50" s="60" t="s">
        <v>280</v>
      </c>
      <c r="B50" s="61">
        <v>1.0</v>
      </c>
      <c r="C50" s="62" t="s">
        <v>195</v>
      </c>
      <c r="D50" s="63">
        <v>78576.0</v>
      </c>
    </row>
    <row r="51">
      <c r="A51" s="60" t="s">
        <v>280</v>
      </c>
      <c r="B51" s="61">
        <v>2.0</v>
      </c>
      <c r="C51" s="62" t="s">
        <v>238</v>
      </c>
      <c r="D51" s="63">
        <v>63815.0</v>
      </c>
    </row>
    <row r="52">
      <c r="A52" s="60" t="s">
        <v>280</v>
      </c>
      <c r="B52" s="61">
        <v>3.0</v>
      </c>
      <c r="C52" s="62" t="s">
        <v>195</v>
      </c>
      <c r="D52" s="63">
        <v>78576.0</v>
      </c>
    </row>
    <row r="53">
      <c r="A53" s="60" t="s">
        <v>280</v>
      </c>
      <c r="B53" s="61">
        <v>4.0</v>
      </c>
      <c r="C53" s="62" t="s">
        <v>225</v>
      </c>
      <c r="D53" s="63">
        <v>65827.0</v>
      </c>
    </row>
    <row r="54">
      <c r="A54" s="60" t="s">
        <v>280</v>
      </c>
      <c r="B54" s="61">
        <v>5.0</v>
      </c>
      <c r="C54" s="62" t="s">
        <v>261</v>
      </c>
      <c r="D54" s="63">
        <v>44315.0</v>
      </c>
    </row>
    <row r="55">
      <c r="A55" s="60" t="s">
        <v>280</v>
      </c>
      <c r="B55" s="61">
        <v>6.0</v>
      </c>
      <c r="C55" s="62" t="s">
        <v>238</v>
      </c>
      <c r="D55" s="63">
        <v>63815.0</v>
      </c>
    </row>
    <row r="56">
      <c r="A56" s="60" t="s">
        <v>281</v>
      </c>
      <c r="B56" s="61">
        <v>1.0</v>
      </c>
      <c r="C56" s="62" t="s">
        <v>242</v>
      </c>
      <c r="D56" s="63">
        <v>67513.0</v>
      </c>
    </row>
    <row r="57">
      <c r="A57" s="60" t="s">
        <v>281</v>
      </c>
      <c r="B57" s="61">
        <v>2.0</v>
      </c>
      <c r="C57" s="62" t="s">
        <v>234</v>
      </c>
      <c r="D57" s="63">
        <v>69391.0</v>
      </c>
    </row>
    <row r="58">
      <c r="A58" s="60" t="s">
        <v>281</v>
      </c>
      <c r="B58" s="61">
        <v>3.0</v>
      </c>
      <c r="C58" s="62" t="s">
        <v>206</v>
      </c>
      <c r="D58" s="63">
        <v>70122.0</v>
      </c>
    </row>
    <row r="59">
      <c r="A59" s="60" t="s">
        <v>281</v>
      </c>
      <c r="B59" s="61">
        <v>4.0</v>
      </c>
      <c r="C59" s="62" t="s">
        <v>234</v>
      </c>
      <c r="D59" s="63">
        <v>69391.0</v>
      </c>
    </row>
    <row r="60">
      <c r="A60" s="60" t="s">
        <v>281</v>
      </c>
      <c r="B60" s="61">
        <v>5.0</v>
      </c>
      <c r="C60" s="62" t="s">
        <v>206</v>
      </c>
      <c r="D60" s="63">
        <v>70122.0</v>
      </c>
    </row>
    <row r="61">
      <c r="A61" s="60" t="s">
        <v>281</v>
      </c>
      <c r="B61" s="61">
        <v>6.0</v>
      </c>
      <c r="C61" s="62" t="s">
        <v>242</v>
      </c>
      <c r="D61" s="63">
        <v>67513.0</v>
      </c>
    </row>
    <row r="62">
      <c r="A62" s="60" t="s">
        <v>282</v>
      </c>
      <c r="B62" s="61">
        <v>1.0</v>
      </c>
      <c r="C62" s="62" t="s">
        <v>252</v>
      </c>
      <c r="D62" s="63">
        <v>72766.0</v>
      </c>
    </row>
    <row r="63">
      <c r="A63" s="60" t="s">
        <v>282</v>
      </c>
      <c r="B63" s="61">
        <v>2.0</v>
      </c>
      <c r="C63" s="62" t="s">
        <v>211</v>
      </c>
      <c r="D63" s="63">
        <v>68311.0</v>
      </c>
    </row>
    <row r="64">
      <c r="A64" s="60" t="s">
        <v>282</v>
      </c>
      <c r="B64" s="61">
        <v>3.0</v>
      </c>
      <c r="C64" s="62" t="s">
        <v>247</v>
      </c>
      <c r="D64" s="63">
        <v>44330.0</v>
      </c>
    </row>
    <row r="65">
      <c r="A65" s="60" t="s">
        <v>282</v>
      </c>
      <c r="B65" s="61">
        <v>4.0</v>
      </c>
      <c r="C65" s="62" t="s">
        <v>215</v>
      </c>
      <c r="D65" s="63">
        <v>67382.0</v>
      </c>
    </row>
    <row r="66">
      <c r="A66" s="60" t="s">
        <v>282</v>
      </c>
      <c r="B66" s="61">
        <v>5.0</v>
      </c>
      <c r="C66" s="62" t="s">
        <v>211</v>
      </c>
      <c r="D66" s="63">
        <v>68311.0</v>
      </c>
    </row>
    <row r="67">
      <c r="A67" s="60" t="s">
        <v>282</v>
      </c>
      <c r="B67" s="61">
        <v>6.0</v>
      </c>
      <c r="C67" s="62" t="s">
        <v>220</v>
      </c>
      <c r="D67" s="63">
        <v>64091.0</v>
      </c>
    </row>
    <row r="68">
      <c r="A68" s="60" t="s">
        <v>283</v>
      </c>
      <c r="B68" s="61">
        <v>1.0</v>
      </c>
      <c r="C68" s="62" t="s">
        <v>261</v>
      </c>
      <c r="D68" s="63">
        <v>44315.0</v>
      </c>
    </row>
    <row r="69">
      <c r="A69" s="60" t="s">
        <v>283</v>
      </c>
      <c r="B69" s="61">
        <v>2.0</v>
      </c>
      <c r="C69" s="62" t="s">
        <v>206</v>
      </c>
      <c r="D69" s="63">
        <v>70122.0</v>
      </c>
    </row>
    <row r="70">
      <c r="A70" s="60" t="s">
        <v>283</v>
      </c>
      <c r="B70" s="61">
        <v>3.0</v>
      </c>
      <c r="C70" s="62" t="s">
        <v>238</v>
      </c>
      <c r="D70" s="63">
        <v>63815.0</v>
      </c>
    </row>
    <row r="71">
      <c r="A71" s="60" t="s">
        <v>283</v>
      </c>
      <c r="B71" s="61">
        <v>4.0</v>
      </c>
      <c r="C71" s="62" t="s">
        <v>261</v>
      </c>
      <c r="D71" s="63">
        <v>44315.0</v>
      </c>
    </row>
    <row r="72">
      <c r="A72" s="60" t="s">
        <v>283</v>
      </c>
      <c r="B72" s="61">
        <v>5.0</v>
      </c>
      <c r="C72" s="62" t="s">
        <v>195</v>
      </c>
      <c r="D72" s="63">
        <v>78576.0</v>
      </c>
    </row>
    <row r="73">
      <c r="A73" s="60" t="s">
        <v>283</v>
      </c>
      <c r="B73" s="61">
        <v>6.0</v>
      </c>
      <c r="C73" s="62" t="s">
        <v>225</v>
      </c>
      <c r="D73" s="63">
        <v>65827.0</v>
      </c>
    </row>
  </sheetData>
  <drawing r:id="rId1"/>
</worksheet>
</file>